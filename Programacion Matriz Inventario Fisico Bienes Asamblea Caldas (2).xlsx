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27028C91-93BD-4338-8E83-AA1F274A26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e_Analisis" sheetId="1" r:id="rId1"/>
    <sheet name="Programacion" sheetId="2" r:id="rId2"/>
    <sheet name="Matriz_Inventario" sheetId="3" r:id="rId3"/>
    <sheet name="Justificacion" sheetId="4" r:id="rId4"/>
    <sheet name="Acta_Dep" sheetId="5" r:id="rId5"/>
    <sheet name="Catalog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1" i="3" l="1"/>
  <c r="P201" i="3"/>
  <c r="S200" i="3"/>
  <c r="P200" i="3"/>
  <c r="S199" i="3"/>
  <c r="P199" i="3"/>
  <c r="S198" i="3"/>
  <c r="P198" i="3"/>
  <c r="S197" i="3"/>
  <c r="P197" i="3"/>
  <c r="S196" i="3"/>
  <c r="P196" i="3"/>
  <c r="S195" i="3"/>
  <c r="P195" i="3"/>
  <c r="S194" i="3"/>
  <c r="P194" i="3"/>
  <c r="S193" i="3"/>
  <c r="P193" i="3"/>
  <c r="S192" i="3"/>
  <c r="P192" i="3"/>
  <c r="S191" i="3"/>
  <c r="P191" i="3"/>
  <c r="S190" i="3"/>
  <c r="P190" i="3"/>
  <c r="S189" i="3"/>
  <c r="P189" i="3"/>
  <c r="S188" i="3"/>
  <c r="P188" i="3"/>
  <c r="S187" i="3"/>
  <c r="P187" i="3"/>
  <c r="S186" i="3"/>
  <c r="P186" i="3"/>
  <c r="S185" i="3"/>
  <c r="P185" i="3"/>
  <c r="S184" i="3"/>
  <c r="P184" i="3"/>
  <c r="S183" i="3"/>
  <c r="P183" i="3"/>
  <c r="S182" i="3"/>
  <c r="P182" i="3"/>
  <c r="S181" i="3"/>
  <c r="P181" i="3"/>
  <c r="S180" i="3"/>
  <c r="P180" i="3"/>
  <c r="S179" i="3"/>
  <c r="P179" i="3"/>
  <c r="S178" i="3"/>
  <c r="P178" i="3"/>
  <c r="S177" i="3"/>
  <c r="P177" i="3"/>
  <c r="S176" i="3"/>
  <c r="P176" i="3"/>
  <c r="S175" i="3"/>
  <c r="P175" i="3"/>
  <c r="S174" i="3"/>
  <c r="P174" i="3"/>
  <c r="S173" i="3"/>
  <c r="P173" i="3"/>
  <c r="S172" i="3"/>
  <c r="P172" i="3"/>
  <c r="S171" i="3"/>
  <c r="P171" i="3"/>
  <c r="S170" i="3"/>
  <c r="P170" i="3"/>
  <c r="S169" i="3"/>
  <c r="P169" i="3"/>
  <c r="S168" i="3"/>
  <c r="P168" i="3"/>
  <c r="S167" i="3"/>
  <c r="P167" i="3"/>
  <c r="S166" i="3"/>
  <c r="P166" i="3"/>
  <c r="S165" i="3"/>
  <c r="P165" i="3"/>
  <c r="S164" i="3"/>
  <c r="P164" i="3"/>
  <c r="S163" i="3"/>
  <c r="P163" i="3"/>
  <c r="S162" i="3"/>
  <c r="P162" i="3"/>
  <c r="S161" i="3"/>
  <c r="P161" i="3"/>
  <c r="S160" i="3"/>
  <c r="P160" i="3"/>
  <c r="S159" i="3"/>
  <c r="P159" i="3"/>
  <c r="S158" i="3"/>
  <c r="P158" i="3"/>
  <c r="S157" i="3"/>
  <c r="P157" i="3"/>
  <c r="S156" i="3"/>
  <c r="P156" i="3"/>
  <c r="S155" i="3"/>
  <c r="P155" i="3"/>
  <c r="S154" i="3"/>
  <c r="P154" i="3"/>
  <c r="S153" i="3"/>
  <c r="P153" i="3"/>
  <c r="S152" i="3"/>
  <c r="P152" i="3"/>
  <c r="S151" i="3"/>
  <c r="P151" i="3"/>
  <c r="S150" i="3"/>
  <c r="P150" i="3"/>
  <c r="S149" i="3"/>
  <c r="P149" i="3"/>
  <c r="S148" i="3"/>
  <c r="P148" i="3"/>
  <c r="S147" i="3"/>
  <c r="P147" i="3"/>
  <c r="S146" i="3"/>
  <c r="P146" i="3"/>
  <c r="S145" i="3"/>
  <c r="P145" i="3"/>
  <c r="S144" i="3"/>
  <c r="P144" i="3"/>
  <c r="S143" i="3"/>
  <c r="P143" i="3"/>
  <c r="S142" i="3"/>
  <c r="P142" i="3"/>
  <c r="S141" i="3"/>
  <c r="P141" i="3"/>
  <c r="S140" i="3"/>
  <c r="P140" i="3"/>
  <c r="S139" i="3"/>
  <c r="P139" i="3"/>
  <c r="S138" i="3"/>
  <c r="P138" i="3"/>
  <c r="S137" i="3"/>
  <c r="P137" i="3"/>
  <c r="S136" i="3"/>
  <c r="P136" i="3"/>
  <c r="S135" i="3"/>
  <c r="P135" i="3"/>
  <c r="S134" i="3"/>
  <c r="P134" i="3"/>
  <c r="S133" i="3"/>
  <c r="P133" i="3"/>
  <c r="S132" i="3"/>
  <c r="P132" i="3"/>
  <c r="S131" i="3"/>
  <c r="P131" i="3"/>
  <c r="S130" i="3"/>
  <c r="P130" i="3"/>
  <c r="S129" i="3"/>
  <c r="P129" i="3"/>
  <c r="S128" i="3"/>
  <c r="P128" i="3"/>
  <c r="S127" i="3"/>
  <c r="P127" i="3"/>
  <c r="S126" i="3"/>
  <c r="P126" i="3"/>
  <c r="S125" i="3"/>
  <c r="P125" i="3"/>
  <c r="S124" i="3"/>
  <c r="P124" i="3"/>
  <c r="S123" i="3"/>
  <c r="P123" i="3"/>
  <c r="S122" i="3"/>
  <c r="P122" i="3"/>
  <c r="S121" i="3"/>
  <c r="P121" i="3"/>
  <c r="S120" i="3"/>
  <c r="P120" i="3"/>
  <c r="S119" i="3"/>
  <c r="P119" i="3"/>
  <c r="S118" i="3"/>
  <c r="P118" i="3"/>
  <c r="S117" i="3"/>
  <c r="P117" i="3"/>
  <c r="S116" i="3"/>
  <c r="P116" i="3"/>
  <c r="S115" i="3"/>
  <c r="P115" i="3"/>
  <c r="S114" i="3"/>
  <c r="P114" i="3"/>
  <c r="S113" i="3"/>
  <c r="P113" i="3"/>
  <c r="S112" i="3"/>
  <c r="P112" i="3"/>
  <c r="S111" i="3"/>
  <c r="P111" i="3"/>
  <c r="S110" i="3"/>
  <c r="P110" i="3"/>
  <c r="S109" i="3"/>
  <c r="P109" i="3"/>
  <c r="S108" i="3"/>
  <c r="P108" i="3"/>
  <c r="S107" i="3"/>
  <c r="P107" i="3"/>
  <c r="S106" i="3"/>
  <c r="P106" i="3"/>
  <c r="S105" i="3"/>
  <c r="P105" i="3"/>
  <c r="S104" i="3"/>
  <c r="P104" i="3"/>
  <c r="S103" i="3"/>
  <c r="P103" i="3"/>
  <c r="S102" i="3"/>
  <c r="P102" i="3"/>
  <c r="S101" i="3"/>
  <c r="P101" i="3"/>
  <c r="S100" i="3"/>
  <c r="P100" i="3"/>
  <c r="S99" i="3"/>
  <c r="P99" i="3"/>
  <c r="S98" i="3"/>
  <c r="P98" i="3"/>
  <c r="S97" i="3"/>
  <c r="P97" i="3"/>
  <c r="S96" i="3"/>
  <c r="P96" i="3"/>
  <c r="S95" i="3"/>
  <c r="P95" i="3"/>
  <c r="S94" i="3"/>
  <c r="P94" i="3"/>
  <c r="S93" i="3"/>
  <c r="P93" i="3"/>
  <c r="S92" i="3"/>
  <c r="P92" i="3"/>
  <c r="S91" i="3"/>
  <c r="P91" i="3"/>
  <c r="S90" i="3"/>
  <c r="P90" i="3"/>
  <c r="S89" i="3"/>
  <c r="P89" i="3"/>
  <c r="S88" i="3"/>
  <c r="P88" i="3"/>
  <c r="S87" i="3"/>
  <c r="P87" i="3"/>
  <c r="S86" i="3"/>
  <c r="P86" i="3"/>
  <c r="S85" i="3"/>
  <c r="P85" i="3"/>
  <c r="S84" i="3"/>
  <c r="P84" i="3"/>
  <c r="S83" i="3"/>
  <c r="P83" i="3"/>
  <c r="S82" i="3"/>
  <c r="P82" i="3"/>
  <c r="S81" i="3"/>
  <c r="P81" i="3"/>
  <c r="S80" i="3"/>
  <c r="P80" i="3"/>
  <c r="S79" i="3"/>
  <c r="P79" i="3"/>
  <c r="S78" i="3"/>
  <c r="P78" i="3"/>
  <c r="S77" i="3"/>
  <c r="P77" i="3"/>
  <c r="S76" i="3"/>
  <c r="P76" i="3"/>
  <c r="S75" i="3"/>
  <c r="P75" i="3"/>
  <c r="S74" i="3"/>
  <c r="P74" i="3"/>
  <c r="S73" i="3"/>
  <c r="P73" i="3"/>
  <c r="S72" i="3"/>
  <c r="P72" i="3"/>
  <c r="S71" i="3"/>
  <c r="P71" i="3"/>
  <c r="S70" i="3"/>
  <c r="P70" i="3"/>
  <c r="S69" i="3"/>
  <c r="P69" i="3"/>
  <c r="S68" i="3"/>
  <c r="P68" i="3"/>
  <c r="S67" i="3"/>
  <c r="P67" i="3"/>
  <c r="S66" i="3"/>
  <c r="P66" i="3"/>
  <c r="S65" i="3"/>
  <c r="P65" i="3"/>
  <c r="S64" i="3"/>
  <c r="P64" i="3"/>
  <c r="S63" i="3"/>
  <c r="P63" i="3"/>
  <c r="S62" i="3"/>
  <c r="P62" i="3"/>
  <c r="S61" i="3"/>
  <c r="P61" i="3"/>
  <c r="S60" i="3"/>
  <c r="P60" i="3"/>
  <c r="S59" i="3"/>
  <c r="P59" i="3"/>
  <c r="S58" i="3"/>
  <c r="P58" i="3"/>
  <c r="S57" i="3"/>
  <c r="P57" i="3"/>
  <c r="S56" i="3"/>
  <c r="P56" i="3"/>
  <c r="S55" i="3"/>
  <c r="P55" i="3"/>
  <c r="S54" i="3"/>
  <c r="P54" i="3"/>
  <c r="S53" i="3"/>
  <c r="P53" i="3"/>
  <c r="S52" i="3"/>
  <c r="P52" i="3"/>
  <c r="S51" i="3"/>
  <c r="P51" i="3"/>
  <c r="S50" i="3"/>
  <c r="P50" i="3"/>
  <c r="S49" i="3"/>
  <c r="P49" i="3"/>
  <c r="S48" i="3"/>
  <c r="P48" i="3"/>
  <c r="S47" i="3"/>
  <c r="P47" i="3"/>
  <c r="S46" i="3"/>
  <c r="P46" i="3"/>
  <c r="S45" i="3"/>
  <c r="P45" i="3"/>
  <c r="S44" i="3"/>
  <c r="P44" i="3"/>
  <c r="S43" i="3"/>
  <c r="P43" i="3"/>
  <c r="S42" i="3"/>
  <c r="P42" i="3"/>
  <c r="S41" i="3"/>
  <c r="P41" i="3"/>
  <c r="S40" i="3"/>
  <c r="P40" i="3"/>
  <c r="S39" i="3"/>
  <c r="P39" i="3"/>
  <c r="S38" i="3"/>
  <c r="P38" i="3"/>
  <c r="S37" i="3"/>
  <c r="P37" i="3"/>
  <c r="S36" i="3"/>
  <c r="P36" i="3"/>
  <c r="S35" i="3"/>
  <c r="P35" i="3"/>
  <c r="S34" i="3"/>
  <c r="P34" i="3"/>
  <c r="S33" i="3"/>
  <c r="P33" i="3"/>
  <c r="S32" i="3"/>
  <c r="P32" i="3"/>
  <c r="S31" i="3"/>
  <c r="P31" i="3"/>
  <c r="S30" i="3"/>
  <c r="P30" i="3"/>
  <c r="S29" i="3"/>
  <c r="P29" i="3"/>
  <c r="S28" i="3"/>
  <c r="P28" i="3"/>
  <c r="S27" i="3"/>
  <c r="P27" i="3"/>
  <c r="S26" i="3"/>
  <c r="P26" i="3"/>
  <c r="S25" i="3"/>
  <c r="P25" i="3"/>
  <c r="S24" i="3"/>
  <c r="P24" i="3"/>
  <c r="S23" i="3"/>
  <c r="P23" i="3"/>
  <c r="S22" i="3"/>
  <c r="P22" i="3"/>
  <c r="S21" i="3"/>
  <c r="P21" i="3"/>
  <c r="S20" i="3"/>
  <c r="P20" i="3"/>
  <c r="S19" i="3"/>
  <c r="P19" i="3"/>
  <c r="S18" i="3"/>
  <c r="P18" i="3"/>
  <c r="S17" i="3"/>
  <c r="P17" i="3"/>
  <c r="S16" i="3"/>
  <c r="P16" i="3"/>
  <c r="S15" i="3"/>
  <c r="P15" i="3"/>
  <c r="S14" i="3"/>
  <c r="P14" i="3"/>
  <c r="S13" i="3"/>
  <c r="P13" i="3"/>
  <c r="S12" i="3"/>
  <c r="P12" i="3"/>
  <c r="S11" i="3"/>
  <c r="P11" i="3"/>
  <c r="S10" i="3"/>
  <c r="P10" i="3"/>
  <c r="S9" i="3"/>
  <c r="P9" i="3"/>
  <c r="S8" i="3"/>
  <c r="P8" i="3"/>
  <c r="S7" i="3"/>
  <c r="P7" i="3"/>
  <c r="S6" i="3"/>
  <c r="P6" i="3"/>
  <c r="S5" i="3"/>
  <c r="P5" i="3"/>
  <c r="S4" i="3"/>
  <c r="P4" i="3"/>
  <c r="S3" i="3"/>
  <c r="P3" i="3"/>
  <c r="S2" i="3"/>
  <c r="P2" i="3"/>
  <c r="F8" i="1"/>
  <c r="E8" i="1"/>
  <c r="D8" i="1"/>
  <c r="C8" i="1"/>
  <c r="B8" i="1"/>
  <c r="H7" i="1"/>
  <c r="G7" i="1"/>
  <c r="H6" i="1"/>
  <c r="G6" i="1"/>
  <c r="H5" i="1"/>
  <c r="G5" i="1"/>
  <c r="H4" i="1"/>
  <c r="G4" i="1"/>
  <c r="H3" i="1"/>
  <c r="G3" i="1"/>
  <c r="H2" i="1"/>
  <c r="G2" i="1"/>
  <c r="H8" i="1" l="1"/>
  <c r="G8" i="1"/>
</calcChain>
</file>

<file path=xl/sharedStrings.xml><?xml version="1.0" encoding="utf-8"?>
<sst xmlns="http://schemas.openxmlformats.org/spreadsheetml/2006/main" count="221" uniqueCount="195">
  <si>
    <t>Módulo / hoja</t>
  </si>
  <si>
    <t>Reg. Bienes</t>
  </si>
  <si>
    <t>Reg. Contabilidad</t>
  </si>
  <si>
    <t>Solo Bienes según hojas</t>
  </si>
  <si>
    <t>Solo Contabilidad</t>
  </si>
  <si>
    <t>En Ambos</t>
  </si>
  <si>
    <t>% Cobertura Bienes</t>
  </si>
  <si>
    <t>% Cobertura Contabilidad</t>
  </si>
  <si>
    <t>Prioridad</t>
  </si>
  <si>
    <t>Enfoque de revisión física y documental</t>
  </si>
  <si>
    <t>MUE.ENSERES</t>
  </si>
  <si>
    <t>Alta</t>
  </si>
  <si>
    <t>Validar ubicación, custodio, placa/serial, actas de traslado e incorporación de bienes físicos sin contraparte contable.</t>
  </si>
  <si>
    <t>EQ.OFICINA</t>
  </si>
  <si>
    <t>Depurar registros contables sin ficha física y revisar duplicidades/históricos; confirmar custodia por dependencia.</t>
  </si>
  <si>
    <t>EQ.COMPUTACIÓN</t>
  </si>
  <si>
    <t>Verificar seriales, placas, RAEE, obsolescencia, traslados y bajas no formalizadas.</t>
  </si>
  <si>
    <t>EQ.COMUNICACIÓN</t>
  </si>
  <si>
    <t>Crítica</t>
  </si>
  <si>
    <t>Priorizar toma física por bajo cruce contable; justificar cada registro contable no localizado.</t>
  </si>
  <si>
    <t>EQ.RESTAURANTE</t>
  </si>
  <si>
    <t>Media</t>
  </si>
  <si>
    <t>Cierre rápido con evidencia física y soportes de diferencias menores.</t>
  </si>
  <si>
    <t>POL-SW-LIC</t>
  </si>
  <si>
    <t>Validar vigencia contractual, pólizas, licencias, soporte de intangible/gasto y tratamiento contable.</t>
  </si>
  <si>
    <t>TOTALES</t>
  </si>
  <si>
    <t>La base requiere toma física, conciliación documental y justificación bien a bien antes de ajuste contable.</t>
  </si>
  <si>
    <t>Nota crítica: El resumen original consigna 2 registros en 'Solo Bienes', pero las hojas de detalle suman 120. Además, el título de CRUCE GLOBAL presenta universos diferentes (599/733). Debe congelarse una base maestra única antes del acta de apertura.</t>
  </si>
  <si>
    <t>Fase</t>
  </si>
  <si>
    <t>Actividad programada</t>
  </si>
  <si>
    <t>Responsable líder</t>
  </si>
  <si>
    <t>Responsables de apoyo</t>
  </si>
  <si>
    <t>Día inicio</t>
  </si>
  <si>
    <t>Día fin</t>
  </si>
  <si>
    <t>Duración hábil</t>
  </si>
  <si>
    <t>Producto / evidencia</t>
  </si>
  <si>
    <t>Estado</t>
  </si>
  <si>
    <t>% avance</t>
  </si>
  <si>
    <t>Observaciones</t>
  </si>
  <si>
    <t>0</t>
  </si>
  <si>
    <t>Acta de apertura, designación de equipos, definición de rutas y congelamiento de base maestra</t>
  </si>
  <si>
    <t>Oficina Financiera / Contabilidad</t>
  </si>
  <si>
    <t>Secretaría General - Bienes, Sistemas, Control Interno</t>
  </si>
  <si>
    <t>Acta de apertura y base maestra congelada</t>
  </si>
  <si>
    <t>No iniciado</t>
  </si>
  <si>
    <t>1</t>
  </si>
  <si>
    <t>Normalización de la base de inventario: códigos, placas, seriales, cuentas, responsables y dependencias</t>
  </si>
  <si>
    <t>Bienes / Almacén</t>
  </si>
  <si>
    <t>Contabilidad, Sistemas</t>
  </si>
  <si>
    <t>Base única validada para toma física</t>
  </si>
  <si>
    <t>2</t>
  </si>
  <si>
    <t>Toma física por dependencia y grupo homogéneo</t>
  </si>
  <si>
    <t>Custodios, Control Interno, Sistemas</t>
  </si>
  <si>
    <t>Planillas firmadas, fotografías y actas por dependencia</t>
  </si>
  <si>
    <t>3</t>
  </si>
  <si>
    <t>Validación documental de bienes no localizados, obsoletos, deteriorados y diferencias de costo/vida útil</t>
  </si>
  <si>
    <t>Secretaría General - Bienes</t>
  </si>
  <si>
    <t>Jurídica, Sistemas, Seguros, Contabilidad</t>
  </si>
  <si>
    <t>Expediente documental por cada diferencia</t>
  </si>
  <si>
    <t>4</t>
  </si>
  <si>
    <t>Mesas de conciliación por módulo: solo bienes, solo contabilidad, en ambos con diferencias</t>
  </si>
  <si>
    <t>Bienes, Sistemas, Control Interno</t>
  </si>
  <si>
    <t>Matriz de conciliación y justificación bien a bien</t>
  </si>
  <si>
    <t>5</t>
  </si>
  <si>
    <t>Informe final del inventario físico y propuesta de acciones: incorporar, depurar, reclasificar, baja, no ajuste</t>
  </si>
  <si>
    <t>Contabilidad, Jurídica, Seguros</t>
  </si>
  <si>
    <t>Informe final firmado y anexos</t>
  </si>
  <si>
    <t>6</t>
  </si>
  <si>
    <t>Revisión de Contabilidad y preparación de expediente para Comité de Sostenibilidad Contable</t>
  </si>
  <si>
    <t>Bienes, Secretaría General</t>
  </si>
  <si>
    <t>Matriz de impacto contable y expediente para Comité</t>
  </si>
  <si>
    <t>7</t>
  </si>
  <si>
    <t>Comité de Sostenibilidad Contable y decisión institucional</t>
  </si>
  <si>
    <t>Comité de Sostenibilidad Contable</t>
  </si>
  <si>
    <t>Oficina Financiera, Secretaría General</t>
  </si>
  <si>
    <t>Acta del Comité con decisiones y responsabilidades</t>
  </si>
  <si>
    <t>8</t>
  </si>
  <si>
    <t>Registro en Contabilidad (MEKANO), actualización del módulo de bienes, pólizas y archivo final</t>
  </si>
  <si>
    <t>Contabilidad / Sistemas / Bienes</t>
  </si>
  <si>
    <t>Seguros, Archivo</t>
  </si>
  <si>
    <t>Comprobantes, actualización de módulo, actas y cierre</t>
  </si>
  <si>
    <t>ID control</t>
  </si>
  <si>
    <t>Código bien</t>
  </si>
  <si>
    <t>Código alterno</t>
  </si>
  <si>
    <t>Placa/serial</t>
  </si>
  <si>
    <t>Descripción</t>
  </si>
  <si>
    <t>Grupo homogéneo</t>
  </si>
  <si>
    <t>Cuenta contable</t>
  </si>
  <si>
    <t>Estado físico</t>
  </si>
  <si>
    <t>Existe físicamente</t>
  </si>
  <si>
    <t>Registro en Contabilidad (MEKANO)</t>
  </si>
  <si>
    <t>Costo bienes</t>
  </si>
  <si>
    <t>Costo contabilidad</t>
  </si>
  <si>
    <t>Diferencia costo</t>
  </si>
  <si>
    <t>VU bienes</t>
  </si>
  <si>
    <t>VU contabilidad</t>
  </si>
  <si>
    <t>Diferencia VU</t>
  </si>
  <si>
    <t>Soporte fotográfico</t>
  </si>
  <si>
    <t>Soporte documental</t>
  </si>
  <si>
    <t>Clasificación diferencia</t>
  </si>
  <si>
    <t>Resultado de conciliación</t>
  </si>
  <si>
    <t>Clasificación</t>
  </si>
  <si>
    <t>Criterio de decisión</t>
  </si>
  <si>
    <t>Evidencia mínima requerida</t>
  </si>
  <si>
    <t>Tratamiento esperado</t>
  </si>
  <si>
    <t>Responsable primario</t>
  </si>
  <si>
    <t>Requiere Comité</t>
  </si>
  <si>
    <t>SOLO EN BIENES</t>
  </si>
  <si>
    <t>Existe en módulo de bienes o físicamente, sin registro en Contabilidad (MEKANO)</t>
  </si>
  <si>
    <t>Acta de verificación física, soporte de adquisición/ingreso o explicación de codificación</t>
  </si>
  <si>
    <t>Incorporar, reclasificar o actualizar Contabilidad; si ya fue baja contable, ajustar módulo de bienes</t>
  </si>
  <si>
    <t>Bienes / Contabilidad</t>
  </si>
  <si>
    <t>Sí, si afecta estados financieros</t>
  </si>
  <si>
    <t>SOLO EN CONTABILIDAD</t>
  </si>
  <si>
    <t>Existe registro contable, pero no hay ficha en bienes o no fue localizado</t>
  </si>
  <si>
    <t>Búsqueda física, informe del custodio, soporte histórico, acta de pérdida/baja si aplica</t>
  </si>
  <si>
    <t>Registrar en bienes si existe; si no existe, iniciar baja o investigación según soporte</t>
  </si>
  <si>
    <t>Bienes / Contabilidad / Jurídica</t>
  </si>
  <si>
    <t>Sí</t>
  </si>
  <si>
    <t>EN AMBOS</t>
  </si>
  <si>
    <t>Existe en ambas fuentes</t>
  </si>
  <si>
    <t>Planilla física firmada, fotografía y validación de placa/serial</t>
  </si>
  <si>
    <t>Mantener; ajustar solo si hay diferencia de costo, vida útil, cuenta, custodia o ubicación</t>
  </si>
  <si>
    <t>Solo si hay ajuste</t>
  </si>
  <si>
    <t>DIFERENCIA COSTO</t>
  </si>
  <si>
    <t>Códigos coinciden, pero valores difieren</t>
  </si>
  <si>
    <t>Factura/comprobante, mayor contable, historia del activo y soporte de mejoras/desmantelamientos</t>
  </si>
  <si>
    <t>Corregir medición o revelar diferencia según análisis</t>
  </si>
  <si>
    <t>Contabilidad</t>
  </si>
  <si>
    <t>DIFERENCIA VIDA ÚTIL</t>
  </si>
  <si>
    <t>Códigos coinciden, pero vida útil difiere</t>
  </si>
  <si>
    <t>Política contable, ficha técnica, fecha de inicio y soporte de estimación</t>
  </si>
  <si>
    <t>Alinear vida útil y depreciación conforme a política contable</t>
  </si>
  <si>
    <t>Contabilidad / Bienes</t>
  </si>
  <si>
    <t>Según impacto</t>
  </si>
  <si>
    <t>NO LOCALIZADO</t>
  </si>
  <si>
    <t>Bien registrado, pero no hallado en toma física</t>
  </si>
  <si>
    <t>Acta de búsqueda, responsable/custodio, informe de pérdida y gestión jurídica si aplica</t>
  </si>
  <si>
    <t>No dar baja sin soporte; iniciar actuación administrativa y jurídica</t>
  </si>
  <si>
    <t>Bienes / Jurídica</t>
  </si>
  <si>
    <t>OBSOLETO/Deteriorado</t>
  </si>
  <si>
    <t>Bien existe, pero no presta servicio o no es económicamente recuperable</t>
  </si>
  <si>
    <t>Concepto técnico, evidencia fotográfica, acta de inspección</t>
  </si>
  <si>
    <t>Iniciar baja o disposición final según procedimiento</t>
  </si>
  <si>
    <t>Bienes / Sistemas / Jurídica</t>
  </si>
  <si>
    <t>Póliza, software o licencia con vigencia limitada</t>
  </si>
  <si>
    <t>Contrato, certificación de vigencia, licencia, acta de uso, factura y tratamiento contable</t>
  </si>
  <si>
    <t>Distinguir activo intangible, gasto, póliza o servicio; ajustar si corresponde</t>
  </si>
  <si>
    <t>Contabilidad / Sistemas / Seguros</t>
  </si>
  <si>
    <t>ACTA DE TOMA FÍSICA DE INVENTARIO POR DEPENDENCIA</t>
  </si>
  <si>
    <t>Dependencia:</t>
  </si>
  <si>
    <t>Fecha:</t>
  </si>
  <si>
    <t>Responsable/Custodio:</t>
  </si>
  <si>
    <t>Equipo verificador:</t>
  </si>
  <si>
    <t>Alcance:</t>
  </si>
  <si>
    <t>Verificación física, documental y de custodia de bienes muebles, activos fijos, intangibles, software y licencias, según aplique.</t>
  </si>
  <si>
    <t>Código</t>
  </si>
  <si>
    <t>Descripción del bien</t>
  </si>
  <si>
    <t>Resultado de verificación</t>
  </si>
  <si>
    <t>Observaciones / soporte</t>
  </si>
  <si>
    <t>Firma custodio:</t>
  </si>
  <si>
    <t>Firma Bienes:</t>
  </si>
  <si>
    <t>Firma Contabilidad:</t>
  </si>
  <si>
    <t>Firma Control Interno:</t>
  </si>
  <si>
    <t>Estados físicos</t>
  </si>
  <si>
    <t>En uso</t>
  </si>
  <si>
    <t>En bodega</t>
  </si>
  <si>
    <t>Deteriorado</t>
  </si>
  <si>
    <t>Obsoleto</t>
  </si>
  <si>
    <t>No localizado</t>
  </si>
  <si>
    <t>Perdido/Hurtado</t>
  </si>
  <si>
    <t>En mantenimiento</t>
  </si>
  <si>
    <t>Dado de baja</t>
  </si>
  <si>
    <t>Sin soporte</t>
  </si>
  <si>
    <t>No aplica</t>
  </si>
  <si>
    <t>Estados de avance</t>
  </si>
  <si>
    <t>En ejecución</t>
  </si>
  <si>
    <t>Pendiente soporte</t>
  </si>
  <si>
    <t>En revisión</t>
  </si>
  <si>
    <t>Cerrado</t>
  </si>
  <si>
    <t>Acciones</t>
  </si>
  <si>
    <t>No ajustar</t>
  </si>
  <si>
    <t>Incorporar a Contabilidad</t>
  </si>
  <si>
    <t>Registrar en Bienes</t>
  </si>
  <si>
    <t>Reclasificar</t>
  </si>
  <si>
    <t>Corregir costo</t>
  </si>
  <si>
    <t>Corregir vida útil</t>
  </si>
  <si>
    <t>Iniciar baja</t>
  </si>
  <si>
    <t>Validación jurídica</t>
  </si>
  <si>
    <t>Validación técnica</t>
  </si>
  <si>
    <t>Traslado/actualización custodia</t>
  </si>
  <si>
    <t>ID</t>
  </si>
  <si>
    <t>Custodio responsable</t>
  </si>
  <si>
    <t>Ubicación del Bien</t>
  </si>
  <si>
    <t>Registro Modulo de  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</si>
</sst>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164" fontId="1" fillId="3" borderId="8" xfId="0" applyNumberFormat="1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9" fontId="1" fillId="3" borderId="1" xfId="0" applyNumberFormat="1" applyFont="1" applyFill="1" applyBorder="1" applyAlignment="1">
      <alignment wrapText="1"/>
    </xf>
    <xf numFmtId="9" fontId="1" fillId="3" borderId="8" xfId="0" applyNumberFormat="1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3" fillId="3" borderId="5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7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aseAnalisis" displayName="TablaBaseAnalisis" ref="A1:J8" headerRowDxfId="46" dataDxfId="44" totalsRowDxfId="42" headerRowBorderDxfId="45" tableBorderDxfId="43">
  <tableColumns count="10">
    <tableColumn id="1" xr3:uid="{00000000-0010-0000-0000-000001000000}" name="Módulo / hoja" dataDxfId="41"/>
    <tableColumn id="2" xr3:uid="{00000000-0010-0000-0000-000002000000}" name="Reg. Bienes" dataDxfId="40"/>
    <tableColumn id="3" xr3:uid="{00000000-0010-0000-0000-000003000000}" name="Reg. Contabilidad" dataDxfId="39"/>
    <tableColumn id="4" xr3:uid="{00000000-0010-0000-0000-000004000000}" name="Solo Bienes según hojas" dataDxfId="38"/>
    <tableColumn id="5" xr3:uid="{00000000-0010-0000-0000-000005000000}" name="Solo Contabilidad" dataDxfId="37"/>
    <tableColumn id="6" xr3:uid="{00000000-0010-0000-0000-000006000000}" name="En Ambos" dataDxfId="36"/>
    <tableColumn id="7" xr3:uid="{00000000-0010-0000-0000-000007000000}" name="% Cobertura Bienes" dataDxfId="35"/>
    <tableColumn id="8" xr3:uid="{00000000-0010-0000-0000-000008000000}" name="% Cobertura Contabilidad" dataDxfId="34"/>
    <tableColumn id="9" xr3:uid="{00000000-0010-0000-0000-000009000000}" name="Prioridad" dataDxfId="33"/>
    <tableColumn id="10" xr3:uid="{00000000-0010-0000-0000-00000A000000}" name="Enfoque de revisión física y documental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rogramacion" displayName="TablaProgramacion" ref="A1:K10" headerRowDxfId="31" dataDxfId="29" totalsRowDxfId="27" headerRowBorderDxfId="30" tableBorderDxfId="28">
  <tableColumns count="11">
    <tableColumn id="1" xr3:uid="{00000000-0010-0000-0100-000001000000}" name="Fase" dataDxfId="26"/>
    <tableColumn id="2" xr3:uid="{00000000-0010-0000-0100-000002000000}" name="Actividad programada" dataDxfId="25"/>
    <tableColumn id="3" xr3:uid="{00000000-0010-0000-0100-000003000000}" name="Responsable líder" dataDxfId="24"/>
    <tableColumn id="4" xr3:uid="{00000000-0010-0000-0100-000004000000}" name="Responsables de apoyo" dataDxfId="23"/>
    <tableColumn id="5" xr3:uid="{00000000-0010-0000-0100-000005000000}" name="Día inicio" dataDxfId="22"/>
    <tableColumn id="6" xr3:uid="{00000000-0010-0000-0100-000006000000}" name="Día fin" dataDxfId="21"/>
    <tableColumn id="7" xr3:uid="{00000000-0010-0000-0100-000007000000}" name="Duración hábil" dataDxfId="20"/>
    <tableColumn id="8" xr3:uid="{00000000-0010-0000-0100-000008000000}" name="Producto / evidencia" dataDxfId="19"/>
    <tableColumn id="9" xr3:uid="{00000000-0010-0000-0100-000009000000}" name="Estado" dataDxfId="18"/>
    <tableColumn id="10" xr3:uid="{00000000-0010-0000-0100-00000A000000}" name="% avance" dataDxfId="17"/>
    <tableColumn id="11" xr3:uid="{00000000-0010-0000-0100-00000B000000}" name="Observaciones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MatrizInventario" displayName="TablaMatrizInventario" ref="A1:X201" headerRowDxfId="74" dataDxfId="72" totalsRowDxfId="70" headerRowBorderDxfId="73" tableBorderDxfId="71">
  <tableColumns count="24">
    <tableColumn id="1" xr3:uid="{00000000-0010-0000-0200-000001000000}" name="ID control" dataDxfId="69"/>
    <tableColumn id="2" xr3:uid="{00000000-0010-0000-0200-000002000000}" name="Código bien" dataDxfId="68"/>
    <tableColumn id="3" xr3:uid="{00000000-0010-0000-0200-000003000000}" name="Código alterno" dataDxfId="67"/>
    <tableColumn id="4" xr3:uid="{00000000-0010-0000-0200-000004000000}" name="Placa/serial" dataDxfId="66"/>
    <tableColumn id="5" xr3:uid="{00000000-0010-0000-0200-000005000000}" name="Descripción" dataDxfId="65"/>
    <tableColumn id="6" xr3:uid="{00000000-0010-0000-0200-000006000000}" name="Grupo homogéneo" dataDxfId="64"/>
    <tableColumn id="7" xr3:uid="{00000000-0010-0000-0200-000007000000}" name="Cuenta contable" dataDxfId="63"/>
    <tableColumn id="10" xr3:uid="{00000000-0010-0000-0200-00000A000000}" name="Custodio responsable" dataDxfId="62"/>
    <tableColumn id="11" xr3:uid="{00000000-0010-0000-0200-00000B000000}" name="Ubicación del Bien" dataDxfId="4"/>
    <tableColumn id="12" xr3:uid="{00000000-0010-0000-0200-00000C000000}" name="Estado físico" dataDxfId="61"/>
    <tableColumn id="13" xr3:uid="{00000000-0010-0000-0200-00000D000000}" name="Existe físicamente" dataDxfId="60"/>
    <tableColumn id="14" xr3:uid="{00000000-0010-0000-0200-00000E000000}" name="Registro Modulo de  Bienes" dataDxfId="59"/>
    <tableColumn id="15" xr3:uid="{00000000-0010-0000-0200-00000F000000}" name="Registro en Contabilidad (MEKANO)" dataDxfId="58"/>
    <tableColumn id="16" xr3:uid="{00000000-0010-0000-0200-000010000000}" name="Costo bienes" dataDxfId="57"/>
    <tableColumn id="17" xr3:uid="{00000000-0010-0000-0200-000011000000}" name="Costo contabilidad" dataDxfId="56"/>
    <tableColumn id="18" xr3:uid="{00000000-0010-0000-0200-000012000000}" name="Diferencia costo" dataDxfId="55"/>
    <tableColumn id="19" xr3:uid="{00000000-0010-0000-0200-000013000000}" name="VU bienes" dataDxfId="54"/>
    <tableColumn id="20" xr3:uid="{00000000-0010-0000-0200-000014000000}" name="VU contabilidad" dataDxfId="53"/>
    <tableColumn id="21" xr3:uid="{00000000-0010-0000-0200-000015000000}" name="Diferencia VU" dataDxfId="52"/>
    <tableColumn id="22" xr3:uid="{00000000-0010-0000-0200-000016000000}" name="Soporte fotográfico" dataDxfId="51"/>
    <tableColumn id="23" xr3:uid="{00000000-0010-0000-0200-000017000000}" name="Soporte documental" dataDxfId="50"/>
    <tableColumn id="24" xr3:uid="{00000000-0010-0000-0200-000018000000}" name="Clasificación diferencia" dataDxfId="49"/>
    <tableColumn id="28" xr3:uid="{00000000-0010-0000-0200-00001C000000}" name="Resultado de conciliación" dataDxfId="48"/>
    <tableColumn id="29" xr3:uid="{00000000-0010-0000-0200-00001D000000}" name="Observaciones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Justificacion" displayName="TablaJustificacion" ref="B1:G9" headerRowDxfId="15" dataDxfId="13" totalsRowDxfId="11" headerRowBorderDxfId="14" tableBorderDxfId="12">
  <tableColumns count="6">
    <tableColumn id="1" xr3:uid="{00000000-0010-0000-0300-000001000000}" name="Clasificación" dataDxfId="10"/>
    <tableColumn id="2" xr3:uid="{00000000-0010-0000-0300-000002000000}" name="Criterio de decisión" dataDxfId="9"/>
    <tableColumn id="3" xr3:uid="{00000000-0010-0000-0300-000003000000}" name="Evidencia mínima requerida" dataDxfId="8"/>
    <tableColumn id="4" xr3:uid="{00000000-0010-0000-0300-000004000000}" name="Tratamiento esperado" dataDxfId="7"/>
    <tableColumn id="5" xr3:uid="{00000000-0010-0000-0300-000005000000}" name="Responsable primario" dataDxfId="6"/>
    <tableColumn id="6" xr3:uid="{00000000-0010-0000-0300-000006000000}" name="Requiere Comité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0"/>
  <sheetViews>
    <sheetView workbookViewId="0">
      <selection activeCell="F13" sqref="F13"/>
    </sheetView>
  </sheetViews>
  <sheetFormatPr baseColWidth="10" defaultColWidth="8.8984375" defaultRowHeight="13.8"/>
  <cols>
    <col min="1" max="1" width="24" style="3" customWidth="1"/>
    <col min="2" max="8" width="14" style="3" customWidth="1"/>
    <col min="9" max="9" width="13" style="3" customWidth="1"/>
    <col min="10" max="10" width="48" style="3" customWidth="1"/>
    <col min="11" max="16384" width="8.8984375" style="3"/>
  </cols>
  <sheetData>
    <row r="1" spans="1:29" ht="27.6">
      <c r="A1" s="4" t="s">
        <v>0</v>
      </c>
      <c r="B1" s="5" t="s">
        <v>1</v>
      </c>
      <c r="C1" s="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7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7.6">
      <c r="A2" s="7" t="s">
        <v>10</v>
      </c>
      <c r="B2" s="8">
        <v>234</v>
      </c>
      <c r="C2" s="8">
        <v>209</v>
      </c>
      <c r="D2" s="8">
        <v>73</v>
      </c>
      <c r="E2" s="8">
        <v>44</v>
      </c>
      <c r="F2" s="8">
        <v>161</v>
      </c>
      <c r="G2" s="9">
        <f t="shared" ref="G2:G8" si="0">F2/B2</f>
        <v>0.68803418803418803</v>
      </c>
      <c r="H2" s="9">
        <f t="shared" ref="H2:H8" si="1">F2/C2</f>
        <v>0.77033492822966509</v>
      </c>
      <c r="I2" s="8" t="s">
        <v>11</v>
      </c>
      <c r="J2" s="10" t="s">
        <v>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41.4">
      <c r="A3" s="7" t="s">
        <v>13</v>
      </c>
      <c r="B3" s="8">
        <v>179</v>
      </c>
      <c r="C3" s="8">
        <v>261</v>
      </c>
      <c r="D3" s="8">
        <v>14</v>
      </c>
      <c r="E3" s="8">
        <v>91</v>
      </c>
      <c r="F3" s="8">
        <v>165</v>
      </c>
      <c r="G3" s="9">
        <f t="shared" si="0"/>
        <v>0.92178770949720668</v>
      </c>
      <c r="H3" s="9">
        <f t="shared" si="1"/>
        <v>0.63218390804597702</v>
      </c>
      <c r="I3" s="8" t="s">
        <v>11</v>
      </c>
      <c r="J3" s="10" t="s">
        <v>14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27.6">
      <c r="A4" s="7" t="s">
        <v>15</v>
      </c>
      <c r="B4" s="8">
        <v>103</v>
      </c>
      <c r="C4" s="8">
        <v>119</v>
      </c>
      <c r="D4" s="8">
        <v>28</v>
      </c>
      <c r="E4" s="8">
        <v>39</v>
      </c>
      <c r="F4" s="8">
        <v>75</v>
      </c>
      <c r="G4" s="9">
        <f t="shared" si="0"/>
        <v>0.72815533980582525</v>
      </c>
      <c r="H4" s="9">
        <f t="shared" si="1"/>
        <v>0.63025210084033612</v>
      </c>
      <c r="I4" s="8" t="s">
        <v>11</v>
      </c>
      <c r="J4" s="10" t="s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7.6">
      <c r="A5" s="7" t="s">
        <v>17</v>
      </c>
      <c r="B5" s="8">
        <v>36</v>
      </c>
      <c r="C5" s="8">
        <v>99</v>
      </c>
      <c r="D5" s="8">
        <v>2</v>
      </c>
      <c r="E5" s="8">
        <v>62</v>
      </c>
      <c r="F5" s="8">
        <v>34</v>
      </c>
      <c r="G5" s="9">
        <f t="shared" si="0"/>
        <v>0.94444444444444442</v>
      </c>
      <c r="H5" s="9">
        <f t="shared" si="1"/>
        <v>0.34343434343434343</v>
      </c>
      <c r="I5" s="8" t="s">
        <v>18</v>
      </c>
      <c r="J5" s="10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7.6">
      <c r="A6" s="7" t="s">
        <v>20</v>
      </c>
      <c r="B6" s="8">
        <v>15</v>
      </c>
      <c r="C6" s="8">
        <v>21</v>
      </c>
      <c r="D6" s="8">
        <v>1</v>
      </c>
      <c r="E6" s="8">
        <v>2</v>
      </c>
      <c r="F6" s="8">
        <v>14</v>
      </c>
      <c r="G6" s="9">
        <f t="shared" si="0"/>
        <v>0.93333333333333335</v>
      </c>
      <c r="H6" s="9">
        <f t="shared" si="1"/>
        <v>0.66666666666666663</v>
      </c>
      <c r="I6" s="8" t="s">
        <v>21</v>
      </c>
      <c r="J6" s="10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7.6">
      <c r="A7" s="7" t="s">
        <v>23</v>
      </c>
      <c r="B7" s="8">
        <v>31</v>
      </c>
      <c r="C7" s="8">
        <v>59</v>
      </c>
      <c r="D7" s="8">
        <v>2</v>
      </c>
      <c r="E7" s="8">
        <v>20</v>
      </c>
      <c r="F7" s="8">
        <v>29</v>
      </c>
      <c r="G7" s="9">
        <f t="shared" si="0"/>
        <v>0.93548387096774188</v>
      </c>
      <c r="H7" s="9">
        <f t="shared" si="1"/>
        <v>0.49152542372881358</v>
      </c>
      <c r="I7" s="8" t="s">
        <v>11</v>
      </c>
      <c r="J7" s="10" t="s">
        <v>24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7.6">
      <c r="A8" s="11" t="s">
        <v>25</v>
      </c>
      <c r="B8" s="12">
        <f>SUM(B2:B7)</f>
        <v>598</v>
      </c>
      <c r="C8" s="12">
        <f>SUM(C2:C7)</f>
        <v>768</v>
      </c>
      <c r="D8" s="12">
        <f>SUM(D2:D7)</f>
        <v>120</v>
      </c>
      <c r="E8" s="12">
        <f>SUM(E2:E7)</f>
        <v>258</v>
      </c>
      <c r="F8" s="12">
        <f>SUM(F2:F7)</f>
        <v>478</v>
      </c>
      <c r="G8" s="13">
        <f t="shared" si="0"/>
        <v>0.79933110367892979</v>
      </c>
      <c r="H8" s="13">
        <f t="shared" si="1"/>
        <v>0.62239583333333337</v>
      </c>
      <c r="I8" s="12" t="s">
        <v>18</v>
      </c>
      <c r="J8" s="14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38" t="s">
        <v>27</v>
      </c>
      <c r="B10" s="39"/>
      <c r="C10" s="39"/>
      <c r="D10" s="39"/>
      <c r="E10" s="39"/>
      <c r="F10" s="39"/>
      <c r="G10" s="39"/>
      <c r="H10" s="39"/>
      <c r="I10" s="39"/>
      <c r="J10" s="3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</sheetData>
  <mergeCells count="1">
    <mergeCell ref="A10:J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0"/>
  <sheetViews>
    <sheetView workbookViewId="0">
      <selection activeCell="C3" sqref="C3"/>
    </sheetView>
  </sheetViews>
  <sheetFormatPr baseColWidth="10" defaultColWidth="8.8984375" defaultRowHeight="13.8"/>
  <cols>
    <col min="1" max="1" width="8" customWidth="1"/>
    <col min="2" max="2" width="48" customWidth="1"/>
    <col min="3" max="4" width="26" customWidth="1"/>
    <col min="5" max="7" width="12" customWidth="1"/>
    <col min="8" max="8" width="36" customWidth="1"/>
    <col min="9" max="10" width="14" customWidth="1"/>
    <col min="11" max="11" width="30" customWidth="1"/>
  </cols>
  <sheetData>
    <row r="1" spans="1:29" ht="27.6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6" t="s">
        <v>38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7.6">
      <c r="A2" s="19" t="s">
        <v>39</v>
      </c>
      <c r="B2" s="8" t="s">
        <v>40</v>
      </c>
      <c r="C2" s="8" t="s">
        <v>41</v>
      </c>
      <c r="D2" s="8" t="s">
        <v>42</v>
      </c>
      <c r="E2" s="34">
        <v>46156</v>
      </c>
      <c r="F2" s="34">
        <v>46163</v>
      </c>
      <c r="G2" s="8">
        <v>5</v>
      </c>
      <c r="H2" s="8" t="s">
        <v>43</v>
      </c>
      <c r="I2" s="8" t="s">
        <v>44</v>
      </c>
      <c r="J2" s="17">
        <v>0</v>
      </c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7.6">
      <c r="A3" s="19" t="s">
        <v>45</v>
      </c>
      <c r="B3" s="8" t="s">
        <v>46</v>
      </c>
      <c r="C3" s="8" t="s">
        <v>47</v>
      </c>
      <c r="D3" s="8" t="s">
        <v>48</v>
      </c>
      <c r="E3" s="34">
        <v>46156</v>
      </c>
      <c r="F3" s="34">
        <v>46163</v>
      </c>
      <c r="G3" s="8">
        <v>5</v>
      </c>
      <c r="H3" s="8" t="s">
        <v>49</v>
      </c>
      <c r="I3" s="8" t="s">
        <v>44</v>
      </c>
      <c r="J3" s="17">
        <v>0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7.6">
      <c r="A4" s="19" t="s">
        <v>50</v>
      </c>
      <c r="B4" s="8" t="s">
        <v>51</v>
      </c>
      <c r="C4" s="8" t="s">
        <v>47</v>
      </c>
      <c r="D4" s="8" t="s">
        <v>52</v>
      </c>
      <c r="E4" s="34">
        <v>46156</v>
      </c>
      <c r="F4" s="34">
        <v>46163</v>
      </c>
      <c r="G4" s="8">
        <v>5</v>
      </c>
      <c r="H4" s="8" t="s">
        <v>53</v>
      </c>
      <c r="I4" s="8" t="s">
        <v>44</v>
      </c>
      <c r="J4" s="17">
        <v>0</v>
      </c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7.6">
      <c r="A5" s="19" t="s">
        <v>54</v>
      </c>
      <c r="B5" s="8" t="s">
        <v>55</v>
      </c>
      <c r="C5" s="8" t="s">
        <v>56</v>
      </c>
      <c r="D5" s="8" t="s">
        <v>57</v>
      </c>
      <c r="E5" s="34">
        <v>46156</v>
      </c>
      <c r="F5" s="34">
        <v>46163</v>
      </c>
      <c r="G5" s="8">
        <v>5</v>
      </c>
      <c r="H5" s="8" t="s">
        <v>58</v>
      </c>
      <c r="I5" s="8" t="s">
        <v>44</v>
      </c>
      <c r="J5" s="17">
        <v>0</v>
      </c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7.6">
      <c r="A6" s="19" t="s">
        <v>59</v>
      </c>
      <c r="B6" s="8" t="s">
        <v>60</v>
      </c>
      <c r="C6" s="8" t="s">
        <v>41</v>
      </c>
      <c r="D6" s="8" t="s">
        <v>61</v>
      </c>
      <c r="E6" s="34">
        <v>46156</v>
      </c>
      <c r="F6" s="34">
        <v>46163</v>
      </c>
      <c r="G6" s="8">
        <v>5</v>
      </c>
      <c r="H6" s="8" t="s">
        <v>62</v>
      </c>
      <c r="I6" s="8" t="s">
        <v>44</v>
      </c>
      <c r="J6" s="17">
        <v>0</v>
      </c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7.6">
      <c r="A7" s="19" t="s">
        <v>63</v>
      </c>
      <c r="B7" s="8" t="s">
        <v>64</v>
      </c>
      <c r="C7" s="8" t="s">
        <v>47</v>
      </c>
      <c r="D7" s="8" t="s">
        <v>65</v>
      </c>
      <c r="E7" s="34">
        <v>46156</v>
      </c>
      <c r="F7" s="34">
        <v>46163</v>
      </c>
      <c r="G7" s="8">
        <v>5</v>
      </c>
      <c r="H7" s="8" t="s">
        <v>66</v>
      </c>
      <c r="I7" s="8" t="s">
        <v>44</v>
      </c>
      <c r="J7" s="17">
        <v>0</v>
      </c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7.6">
      <c r="A8" s="19" t="s">
        <v>67</v>
      </c>
      <c r="B8" s="8" t="s">
        <v>68</v>
      </c>
      <c r="C8" s="8" t="s">
        <v>41</v>
      </c>
      <c r="D8" s="8" t="s">
        <v>69</v>
      </c>
      <c r="E8" s="34">
        <v>46156</v>
      </c>
      <c r="F8" s="34">
        <v>46163</v>
      </c>
      <c r="G8" s="8">
        <v>5</v>
      </c>
      <c r="H8" s="8" t="s">
        <v>70</v>
      </c>
      <c r="I8" s="8" t="s">
        <v>44</v>
      </c>
      <c r="J8" s="17">
        <v>0</v>
      </c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.6">
      <c r="A9" s="19" t="s">
        <v>71</v>
      </c>
      <c r="B9" s="8" t="s">
        <v>72</v>
      </c>
      <c r="C9" s="8" t="s">
        <v>73</v>
      </c>
      <c r="D9" s="8" t="s">
        <v>74</v>
      </c>
      <c r="E9" s="34">
        <v>46156</v>
      </c>
      <c r="F9" s="34">
        <v>46163</v>
      </c>
      <c r="G9" s="8">
        <v>5</v>
      </c>
      <c r="H9" s="8" t="s">
        <v>75</v>
      </c>
      <c r="I9" s="8" t="s">
        <v>44</v>
      </c>
      <c r="J9" s="17">
        <v>0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7.6">
      <c r="A10" s="20" t="s">
        <v>76</v>
      </c>
      <c r="B10" s="12" t="s">
        <v>77</v>
      </c>
      <c r="C10" s="12" t="s">
        <v>78</v>
      </c>
      <c r="D10" s="12" t="s">
        <v>79</v>
      </c>
      <c r="E10" s="34">
        <v>46156</v>
      </c>
      <c r="F10" s="34">
        <v>46163</v>
      </c>
      <c r="G10" s="8">
        <v>5</v>
      </c>
      <c r="H10" s="12" t="s">
        <v>80</v>
      </c>
      <c r="I10" s="12" t="s">
        <v>44</v>
      </c>
      <c r="J10" s="18">
        <v>0</v>
      </c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</sheetData>
  <conditionalFormatting sqref="I2:I10">
    <cfRule type="expression" dxfId="3" priority="1">
      <formula>I2="Cerrado"</formula>
    </cfRule>
    <cfRule type="expression" dxfId="2" priority="2">
      <formula>I2="Pendiente soporte"</formula>
    </cfRule>
  </conditionalFormatting>
  <dataValidations disablePrompts="1" count="2">
    <dataValidation type="list" sqref="I2:I10" xr:uid="{00000000-0002-0000-0100-000000000000}">
      <formula1>"No iniciado,En ejecución,Pendiente soporte,En revisión,Cerrado"</formula1>
    </dataValidation>
    <dataValidation type="decimal" sqref="J2:J10" xr:uid="{00000000-0002-0000-01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0"/>
  <sheetViews>
    <sheetView tabSelected="1" workbookViewId="0">
      <selection activeCell="AC11" sqref="AC11"/>
    </sheetView>
  </sheetViews>
  <sheetFormatPr baseColWidth="10" defaultColWidth="8.8984375" defaultRowHeight="13.8"/>
  <cols>
    <col min="1" max="1" width="10" style="31" customWidth="1"/>
    <col min="2" max="13" width="18" customWidth="1"/>
    <col min="14" max="19" width="13" customWidth="1"/>
    <col min="20" max="24" width="22" customWidth="1"/>
  </cols>
  <sheetData>
    <row r="1" spans="1:24" ht="41.4">
      <c r="A1" s="21" t="s">
        <v>81</v>
      </c>
      <c r="B1" s="22" t="s">
        <v>82</v>
      </c>
      <c r="C1" s="22" t="s">
        <v>83</v>
      </c>
      <c r="D1" s="22" t="s">
        <v>84</v>
      </c>
      <c r="E1" s="22" t="s">
        <v>85</v>
      </c>
      <c r="F1" s="22" t="s">
        <v>86</v>
      </c>
      <c r="G1" s="22" t="s">
        <v>87</v>
      </c>
      <c r="H1" s="22" t="s">
        <v>192</v>
      </c>
      <c r="I1" s="22" t="s">
        <v>193</v>
      </c>
      <c r="J1" s="22" t="s">
        <v>88</v>
      </c>
      <c r="K1" s="22" t="s">
        <v>89</v>
      </c>
      <c r="L1" s="22" t="s">
        <v>194</v>
      </c>
      <c r="M1" s="22" t="s">
        <v>90</v>
      </c>
      <c r="N1" s="22" t="s">
        <v>91</v>
      </c>
      <c r="O1" s="22" t="s">
        <v>92</v>
      </c>
      <c r="P1" s="22" t="s">
        <v>93</v>
      </c>
      <c r="Q1" s="22" t="s">
        <v>94</v>
      </c>
      <c r="R1" s="22" t="s">
        <v>95</v>
      </c>
      <c r="S1" s="22" t="s">
        <v>96</v>
      </c>
      <c r="T1" s="22" t="s">
        <v>97</v>
      </c>
      <c r="U1" s="42" t="s">
        <v>98</v>
      </c>
      <c r="V1" s="42" t="s">
        <v>99</v>
      </c>
      <c r="W1" s="22" t="s">
        <v>100</v>
      </c>
      <c r="X1" s="23" t="s">
        <v>38</v>
      </c>
    </row>
    <row r="2" spans="1:24">
      <c r="A2" s="28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 t="str">
        <f t="shared" ref="P2:P33" si="0">IF(OR(N2="",O2=""),"",N2-O2)</f>
        <v/>
      </c>
      <c r="Q2" s="24"/>
      <c r="R2" s="24"/>
      <c r="S2" s="24" t="str">
        <f t="shared" ref="S2:S33" si="1">IF(OR(Q2="",R2=""),"",Q2-R2)</f>
        <v/>
      </c>
      <c r="T2" s="24"/>
      <c r="U2" s="24"/>
      <c r="V2" s="24"/>
      <c r="W2" s="24"/>
      <c r="X2" s="25"/>
    </row>
    <row r="3" spans="1:24">
      <c r="A3" s="28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 t="str">
        <f t="shared" si="0"/>
        <v/>
      </c>
      <c r="Q3" s="24"/>
      <c r="R3" s="24"/>
      <c r="S3" s="24" t="str">
        <f t="shared" si="1"/>
        <v/>
      </c>
      <c r="T3" s="24"/>
      <c r="U3" s="24"/>
      <c r="V3" s="24"/>
      <c r="W3" s="24"/>
      <c r="X3" s="25"/>
    </row>
    <row r="4" spans="1:24">
      <c r="A4" s="28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 t="str">
        <f t="shared" si="0"/>
        <v/>
      </c>
      <c r="Q4" s="24"/>
      <c r="R4" s="24"/>
      <c r="S4" s="24" t="str">
        <f t="shared" si="1"/>
        <v/>
      </c>
      <c r="T4" s="24"/>
      <c r="U4" s="24"/>
      <c r="V4" s="24"/>
      <c r="W4" s="24"/>
      <c r="X4" s="25"/>
    </row>
    <row r="5" spans="1:24">
      <c r="A5" s="28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 t="str">
        <f t="shared" si="0"/>
        <v/>
      </c>
      <c r="Q5" s="24"/>
      <c r="R5" s="24"/>
      <c r="S5" s="24" t="str">
        <f t="shared" si="1"/>
        <v/>
      </c>
      <c r="T5" s="24"/>
      <c r="U5" s="24"/>
      <c r="V5" s="24"/>
      <c r="W5" s="24"/>
      <c r="X5" s="25"/>
    </row>
    <row r="6" spans="1:24">
      <c r="A6" s="28">
        <v>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 t="str">
        <f t="shared" si="0"/>
        <v/>
      </c>
      <c r="Q6" s="24"/>
      <c r="R6" s="24"/>
      <c r="S6" s="24" t="str">
        <f t="shared" si="1"/>
        <v/>
      </c>
      <c r="T6" s="24"/>
      <c r="U6" s="24"/>
      <c r="V6" s="24"/>
      <c r="W6" s="24"/>
      <c r="X6" s="25"/>
    </row>
    <row r="7" spans="1:24">
      <c r="A7" s="28">
        <v>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 t="str">
        <f t="shared" si="0"/>
        <v/>
      </c>
      <c r="Q7" s="24"/>
      <c r="R7" s="24"/>
      <c r="S7" s="24" t="str">
        <f t="shared" si="1"/>
        <v/>
      </c>
      <c r="T7" s="24"/>
      <c r="U7" s="24"/>
      <c r="V7" s="24"/>
      <c r="W7" s="24"/>
      <c r="X7" s="25"/>
    </row>
    <row r="8" spans="1:24">
      <c r="A8" s="28">
        <v>7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tr">
        <f t="shared" si="0"/>
        <v/>
      </c>
      <c r="Q8" s="24"/>
      <c r="R8" s="24"/>
      <c r="S8" s="24" t="str">
        <f t="shared" si="1"/>
        <v/>
      </c>
      <c r="T8" s="24"/>
      <c r="U8" s="24"/>
      <c r="V8" s="24"/>
      <c r="W8" s="24"/>
      <c r="X8" s="25"/>
    </row>
    <row r="9" spans="1:24">
      <c r="A9" s="28">
        <v>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 t="str">
        <f t="shared" si="0"/>
        <v/>
      </c>
      <c r="Q9" s="24"/>
      <c r="R9" s="24"/>
      <c r="S9" s="24" t="str">
        <f t="shared" si="1"/>
        <v/>
      </c>
      <c r="T9" s="24"/>
      <c r="U9" s="24"/>
      <c r="V9" s="24"/>
      <c r="W9" s="24"/>
      <c r="X9" s="25"/>
    </row>
    <row r="10" spans="1:24">
      <c r="A10" s="28">
        <v>9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 t="str">
        <f t="shared" si="0"/>
        <v/>
      </c>
      <c r="Q10" s="24"/>
      <c r="R10" s="24"/>
      <c r="S10" s="24" t="str">
        <f t="shared" si="1"/>
        <v/>
      </c>
      <c r="T10" s="24"/>
      <c r="U10" s="24"/>
      <c r="V10" s="24"/>
      <c r="W10" s="24"/>
      <c r="X10" s="25"/>
    </row>
    <row r="11" spans="1:24">
      <c r="A11" s="28">
        <v>10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 t="str">
        <f t="shared" si="0"/>
        <v/>
      </c>
      <c r="Q11" s="24"/>
      <c r="R11" s="24"/>
      <c r="S11" s="24" t="str">
        <f t="shared" si="1"/>
        <v/>
      </c>
      <c r="T11" s="24"/>
      <c r="U11" s="24"/>
      <c r="V11" s="24"/>
      <c r="W11" s="24"/>
      <c r="X11" s="25"/>
    </row>
    <row r="12" spans="1:24">
      <c r="A12" s="28">
        <v>11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 t="str">
        <f t="shared" si="0"/>
        <v/>
      </c>
      <c r="Q12" s="24"/>
      <c r="R12" s="24"/>
      <c r="S12" s="24" t="str">
        <f t="shared" si="1"/>
        <v/>
      </c>
      <c r="T12" s="24"/>
      <c r="U12" s="24"/>
      <c r="V12" s="24"/>
      <c r="W12" s="24"/>
      <c r="X12" s="25"/>
    </row>
    <row r="13" spans="1:24">
      <c r="A13" s="28">
        <v>12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 t="str">
        <f t="shared" si="0"/>
        <v/>
      </c>
      <c r="Q13" s="24"/>
      <c r="R13" s="24"/>
      <c r="S13" s="24" t="str">
        <f t="shared" si="1"/>
        <v/>
      </c>
      <c r="T13" s="24"/>
      <c r="U13" s="24"/>
      <c r="V13" s="24"/>
      <c r="W13" s="24"/>
      <c r="X13" s="25"/>
    </row>
    <row r="14" spans="1:24">
      <c r="A14" s="28">
        <v>13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 t="str">
        <f t="shared" si="0"/>
        <v/>
      </c>
      <c r="Q14" s="24"/>
      <c r="R14" s="24"/>
      <c r="S14" s="24" t="str">
        <f t="shared" si="1"/>
        <v/>
      </c>
      <c r="T14" s="24"/>
      <c r="U14" s="24"/>
      <c r="V14" s="24"/>
      <c r="W14" s="24"/>
      <c r="X14" s="25"/>
    </row>
    <row r="15" spans="1:24">
      <c r="A15" s="28">
        <v>14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 t="str">
        <f t="shared" si="0"/>
        <v/>
      </c>
      <c r="Q15" s="24"/>
      <c r="R15" s="24"/>
      <c r="S15" s="24" t="str">
        <f t="shared" si="1"/>
        <v/>
      </c>
      <c r="T15" s="24"/>
      <c r="U15" s="24"/>
      <c r="V15" s="24"/>
      <c r="W15" s="24"/>
      <c r="X15" s="25"/>
    </row>
    <row r="16" spans="1:24">
      <c r="A16" s="28">
        <v>15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 t="str">
        <f t="shared" si="0"/>
        <v/>
      </c>
      <c r="Q16" s="24"/>
      <c r="R16" s="24"/>
      <c r="S16" s="24" t="str">
        <f t="shared" si="1"/>
        <v/>
      </c>
      <c r="T16" s="24"/>
      <c r="U16" s="24"/>
      <c r="V16" s="24"/>
      <c r="W16" s="24"/>
      <c r="X16" s="25"/>
    </row>
    <row r="17" spans="1:24">
      <c r="A17" s="28">
        <v>16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 t="str">
        <f t="shared" si="0"/>
        <v/>
      </c>
      <c r="Q17" s="24"/>
      <c r="R17" s="24"/>
      <c r="S17" s="24" t="str">
        <f t="shared" si="1"/>
        <v/>
      </c>
      <c r="T17" s="24"/>
      <c r="U17" s="24"/>
      <c r="V17" s="24"/>
      <c r="W17" s="24"/>
      <c r="X17" s="25"/>
    </row>
    <row r="18" spans="1:24">
      <c r="A18" s="28">
        <v>17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 t="str">
        <f t="shared" si="0"/>
        <v/>
      </c>
      <c r="Q18" s="24"/>
      <c r="R18" s="24"/>
      <c r="S18" s="24" t="str">
        <f t="shared" si="1"/>
        <v/>
      </c>
      <c r="T18" s="24"/>
      <c r="U18" s="24"/>
      <c r="V18" s="24"/>
      <c r="W18" s="24"/>
      <c r="X18" s="25"/>
    </row>
    <row r="19" spans="1:24">
      <c r="A19" s="28">
        <v>18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 t="str">
        <f t="shared" si="0"/>
        <v/>
      </c>
      <c r="Q19" s="24"/>
      <c r="R19" s="24"/>
      <c r="S19" s="24" t="str">
        <f t="shared" si="1"/>
        <v/>
      </c>
      <c r="T19" s="24"/>
      <c r="U19" s="24"/>
      <c r="V19" s="24"/>
      <c r="W19" s="24"/>
      <c r="X19" s="25"/>
    </row>
    <row r="20" spans="1:24">
      <c r="A20" s="28">
        <v>19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 t="str">
        <f t="shared" si="0"/>
        <v/>
      </c>
      <c r="Q20" s="24"/>
      <c r="R20" s="24"/>
      <c r="S20" s="24" t="str">
        <f t="shared" si="1"/>
        <v/>
      </c>
      <c r="T20" s="24"/>
      <c r="U20" s="24"/>
      <c r="V20" s="24"/>
      <c r="W20" s="24"/>
      <c r="X20" s="25"/>
    </row>
    <row r="21" spans="1:24">
      <c r="A21" s="28">
        <v>20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 t="str">
        <f t="shared" si="0"/>
        <v/>
      </c>
      <c r="Q21" s="24"/>
      <c r="R21" s="24"/>
      <c r="S21" s="24" t="str">
        <f t="shared" si="1"/>
        <v/>
      </c>
      <c r="T21" s="24"/>
      <c r="U21" s="24"/>
      <c r="V21" s="24"/>
      <c r="W21" s="24"/>
      <c r="X21" s="25"/>
    </row>
    <row r="22" spans="1:24">
      <c r="A22" s="28">
        <v>21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 t="str">
        <f t="shared" si="0"/>
        <v/>
      </c>
      <c r="Q22" s="24"/>
      <c r="R22" s="24"/>
      <c r="S22" s="24" t="str">
        <f t="shared" si="1"/>
        <v/>
      </c>
      <c r="T22" s="24"/>
      <c r="U22" s="24"/>
      <c r="V22" s="24"/>
      <c r="W22" s="24"/>
      <c r="X22" s="25"/>
    </row>
    <row r="23" spans="1:24">
      <c r="A23" s="28">
        <v>22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 t="str">
        <f t="shared" si="0"/>
        <v/>
      </c>
      <c r="Q23" s="24"/>
      <c r="R23" s="24"/>
      <c r="S23" s="24" t="str">
        <f t="shared" si="1"/>
        <v/>
      </c>
      <c r="T23" s="24"/>
      <c r="U23" s="24"/>
      <c r="V23" s="24"/>
      <c r="W23" s="24"/>
      <c r="X23" s="25"/>
    </row>
    <row r="24" spans="1:24">
      <c r="A24" s="28">
        <v>23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 t="str">
        <f t="shared" si="0"/>
        <v/>
      </c>
      <c r="Q24" s="24"/>
      <c r="R24" s="24"/>
      <c r="S24" s="24" t="str">
        <f t="shared" si="1"/>
        <v/>
      </c>
      <c r="T24" s="24"/>
      <c r="U24" s="24"/>
      <c r="V24" s="24"/>
      <c r="W24" s="24"/>
      <c r="X24" s="25"/>
    </row>
    <row r="25" spans="1:24">
      <c r="A25" s="28">
        <v>24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 t="str">
        <f t="shared" si="0"/>
        <v/>
      </c>
      <c r="Q25" s="24"/>
      <c r="R25" s="24"/>
      <c r="S25" s="24" t="str">
        <f t="shared" si="1"/>
        <v/>
      </c>
      <c r="T25" s="24"/>
      <c r="U25" s="24"/>
      <c r="V25" s="24"/>
      <c r="W25" s="24"/>
      <c r="X25" s="25"/>
    </row>
    <row r="26" spans="1:24">
      <c r="A26" s="28">
        <v>25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 t="str">
        <f t="shared" si="0"/>
        <v/>
      </c>
      <c r="Q26" s="24"/>
      <c r="R26" s="24"/>
      <c r="S26" s="24" t="str">
        <f t="shared" si="1"/>
        <v/>
      </c>
      <c r="T26" s="24"/>
      <c r="U26" s="24"/>
      <c r="V26" s="24"/>
      <c r="W26" s="24"/>
      <c r="X26" s="25"/>
    </row>
    <row r="27" spans="1:24">
      <c r="A27" s="28">
        <v>26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 t="str">
        <f t="shared" si="0"/>
        <v/>
      </c>
      <c r="Q27" s="24"/>
      <c r="R27" s="24"/>
      <c r="S27" s="24" t="str">
        <f t="shared" si="1"/>
        <v/>
      </c>
      <c r="T27" s="24"/>
      <c r="U27" s="24"/>
      <c r="V27" s="24"/>
      <c r="W27" s="24"/>
      <c r="X27" s="25"/>
    </row>
    <row r="28" spans="1:24">
      <c r="A28" s="28">
        <v>27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 t="str">
        <f t="shared" si="0"/>
        <v/>
      </c>
      <c r="Q28" s="24"/>
      <c r="R28" s="24"/>
      <c r="S28" s="24" t="str">
        <f t="shared" si="1"/>
        <v/>
      </c>
      <c r="T28" s="24"/>
      <c r="U28" s="24"/>
      <c r="V28" s="24"/>
      <c r="W28" s="24"/>
      <c r="X28" s="25"/>
    </row>
    <row r="29" spans="1:24">
      <c r="A29" s="28">
        <v>28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 t="str">
        <f t="shared" si="0"/>
        <v/>
      </c>
      <c r="Q29" s="24"/>
      <c r="R29" s="24"/>
      <c r="S29" s="24" t="str">
        <f t="shared" si="1"/>
        <v/>
      </c>
      <c r="T29" s="24"/>
      <c r="U29" s="24"/>
      <c r="V29" s="24"/>
      <c r="W29" s="24"/>
      <c r="X29" s="25"/>
    </row>
    <row r="30" spans="1:24">
      <c r="A30" s="28">
        <v>29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 t="str">
        <f t="shared" si="0"/>
        <v/>
      </c>
      <c r="Q30" s="24"/>
      <c r="R30" s="24"/>
      <c r="S30" s="24" t="str">
        <f t="shared" si="1"/>
        <v/>
      </c>
      <c r="T30" s="24"/>
      <c r="U30" s="24"/>
      <c r="V30" s="24"/>
      <c r="W30" s="24"/>
      <c r="X30" s="25"/>
    </row>
    <row r="31" spans="1:24">
      <c r="A31" s="28">
        <v>30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 t="str">
        <f t="shared" si="0"/>
        <v/>
      </c>
      <c r="Q31" s="24"/>
      <c r="R31" s="24"/>
      <c r="S31" s="24" t="str">
        <f t="shared" si="1"/>
        <v/>
      </c>
      <c r="T31" s="24"/>
      <c r="U31" s="24"/>
      <c r="V31" s="24"/>
      <c r="W31" s="24"/>
      <c r="X31" s="25"/>
    </row>
    <row r="32" spans="1:24">
      <c r="A32" s="28">
        <v>31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 t="str">
        <f t="shared" si="0"/>
        <v/>
      </c>
      <c r="Q32" s="24"/>
      <c r="R32" s="24"/>
      <c r="S32" s="24" t="str">
        <f t="shared" si="1"/>
        <v/>
      </c>
      <c r="T32" s="24"/>
      <c r="U32" s="24"/>
      <c r="V32" s="24"/>
      <c r="W32" s="24"/>
      <c r="X32" s="25"/>
    </row>
    <row r="33" spans="1:24">
      <c r="A33" s="28">
        <v>32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 t="str">
        <f t="shared" si="0"/>
        <v/>
      </c>
      <c r="Q33" s="24"/>
      <c r="R33" s="24"/>
      <c r="S33" s="24" t="str">
        <f t="shared" si="1"/>
        <v/>
      </c>
      <c r="T33" s="24"/>
      <c r="U33" s="24"/>
      <c r="V33" s="24"/>
      <c r="W33" s="24"/>
      <c r="X33" s="25"/>
    </row>
    <row r="34" spans="1:24">
      <c r="A34" s="28">
        <v>33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 t="str">
        <f t="shared" ref="P34:P65" si="2">IF(OR(N34="",O34=""),"",N34-O34)</f>
        <v/>
      </c>
      <c r="Q34" s="24"/>
      <c r="R34" s="24"/>
      <c r="S34" s="24" t="str">
        <f t="shared" ref="S34:S65" si="3">IF(OR(Q34="",R34=""),"",Q34-R34)</f>
        <v/>
      </c>
      <c r="T34" s="24"/>
      <c r="U34" s="24"/>
      <c r="V34" s="24"/>
      <c r="W34" s="24"/>
      <c r="X34" s="25"/>
    </row>
    <row r="35" spans="1:24">
      <c r="A35" s="28">
        <v>34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 t="str">
        <f t="shared" si="2"/>
        <v/>
      </c>
      <c r="Q35" s="24"/>
      <c r="R35" s="24"/>
      <c r="S35" s="24" t="str">
        <f t="shared" si="3"/>
        <v/>
      </c>
      <c r="T35" s="24"/>
      <c r="U35" s="24"/>
      <c r="V35" s="24"/>
      <c r="W35" s="24"/>
      <c r="X35" s="25"/>
    </row>
    <row r="36" spans="1:24">
      <c r="A36" s="28">
        <v>35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 t="str">
        <f t="shared" si="2"/>
        <v/>
      </c>
      <c r="Q36" s="24"/>
      <c r="R36" s="24"/>
      <c r="S36" s="24" t="str">
        <f t="shared" si="3"/>
        <v/>
      </c>
      <c r="T36" s="24"/>
      <c r="U36" s="24"/>
      <c r="V36" s="24"/>
      <c r="W36" s="24"/>
      <c r="X36" s="25"/>
    </row>
    <row r="37" spans="1:24">
      <c r="A37" s="28">
        <v>36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 t="str">
        <f t="shared" si="2"/>
        <v/>
      </c>
      <c r="Q37" s="24"/>
      <c r="R37" s="24"/>
      <c r="S37" s="24" t="str">
        <f t="shared" si="3"/>
        <v/>
      </c>
      <c r="T37" s="24"/>
      <c r="U37" s="24"/>
      <c r="V37" s="24"/>
      <c r="W37" s="24"/>
      <c r="X37" s="25"/>
    </row>
    <row r="38" spans="1:24">
      <c r="A38" s="28">
        <v>37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 t="str">
        <f t="shared" si="2"/>
        <v/>
      </c>
      <c r="Q38" s="24"/>
      <c r="R38" s="24"/>
      <c r="S38" s="24" t="str">
        <f t="shared" si="3"/>
        <v/>
      </c>
      <c r="T38" s="24"/>
      <c r="U38" s="24"/>
      <c r="V38" s="24"/>
      <c r="W38" s="24"/>
      <c r="X38" s="25"/>
    </row>
    <row r="39" spans="1:24">
      <c r="A39" s="28">
        <v>38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 t="str">
        <f t="shared" si="2"/>
        <v/>
      </c>
      <c r="Q39" s="24"/>
      <c r="R39" s="24"/>
      <c r="S39" s="24" t="str">
        <f t="shared" si="3"/>
        <v/>
      </c>
      <c r="T39" s="24"/>
      <c r="U39" s="24"/>
      <c r="V39" s="24"/>
      <c r="W39" s="24"/>
      <c r="X39" s="25"/>
    </row>
    <row r="40" spans="1:24">
      <c r="A40" s="28">
        <v>39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 t="str">
        <f t="shared" si="2"/>
        <v/>
      </c>
      <c r="Q40" s="24"/>
      <c r="R40" s="24"/>
      <c r="S40" s="24" t="str">
        <f t="shared" si="3"/>
        <v/>
      </c>
      <c r="T40" s="24"/>
      <c r="U40" s="24"/>
      <c r="V40" s="24"/>
      <c r="W40" s="24"/>
      <c r="X40" s="25"/>
    </row>
    <row r="41" spans="1:24">
      <c r="A41" s="28">
        <v>40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 t="str">
        <f t="shared" si="2"/>
        <v/>
      </c>
      <c r="Q41" s="24"/>
      <c r="R41" s="24"/>
      <c r="S41" s="24" t="str">
        <f t="shared" si="3"/>
        <v/>
      </c>
      <c r="T41" s="24"/>
      <c r="U41" s="24"/>
      <c r="V41" s="24"/>
      <c r="W41" s="24"/>
      <c r="X41" s="25"/>
    </row>
    <row r="42" spans="1:24">
      <c r="A42" s="28">
        <v>41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 t="str">
        <f t="shared" si="2"/>
        <v/>
      </c>
      <c r="Q42" s="24"/>
      <c r="R42" s="24"/>
      <c r="S42" s="24" t="str">
        <f t="shared" si="3"/>
        <v/>
      </c>
      <c r="T42" s="24"/>
      <c r="U42" s="24"/>
      <c r="V42" s="24"/>
      <c r="W42" s="24"/>
      <c r="X42" s="25"/>
    </row>
    <row r="43" spans="1:24">
      <c r="A43" s="28">
        <v>42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 t="str">
        <f t="shared" si="2"/>
        <v/>
      </c>
      <c r="Q43" s="24"/>
      <c r="R43" s="24"/>
      <c r="S43" s="24" t="str">
        <f t="shared" si="3"/>
        <v/>
      </c>
      <c r="T43" s="24"/>
      <c r="U43" s="24"/>
      <c r="V43" s="24"/>
      <c r="W43" s="24"/>
      <c r="X43" s="25"/>
    </row>
    <row r="44" spans="1:24">
      <c r="A44" s="28">
        <v>43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 t="str">
        <f t="shared" si="2"/>
        <v/>
      </c>
      <c r="Q44" s="24"/>
      <c r="R44" s="24"/>
      <c r="S44" s="24" t="str">
        <f t="shared" si="3"/>
        <v/>
      </c>
      <c r="T44" s="24"/>
      <c r="U44" s="24"/>
      <c r="V44" s="24"/>
      <c r="W44" s="24"/>
      <c r="X44" s="25"/>
    </row>
    <row r="45" spans="1:24">
      <c r="A45" s="28">
        <v>44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 t="str">
        <f t="shared" si="2"/>
        <v/>
      </c>
      <c r="Q45" s="24"/>
      <c r="R45" s="24"/>
      <c r="S45" s="24" t="str">
        <f t="shared" si="3"/>
        <v/>
      </c>
      <c r="T45" s="24"/>
      <c r="U45" s="24"/>
      <c r="V45" s="24"/>
      <c r="W45" s="24"/>
      <c r="X45" s="25"/>
    </row>
    <row r="46" spans="1:24">
      <c r="A46" s="28">
        <v>45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 t="str">
        <f t="shared" si="2"/>
        <v/>
      </c>
      <c r="Q46" s="24"/>
      <c r="R46" s="24"/>
      <c r="S46" s="24" t="str">
        <f t="shared" si="3"/>
        <v/>
      </c>
      <c r="T46" s="24"/>
      <c r="U46" s="24"/>
      <c r="V46" s="24"/>
      <c r="W46" s="24"/>
      <c r="X46" s="25"/>
    </row>
    <row r="47" spans="1:24">
      <c r="A47" s="28">
        <v>46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 t="str">
        <f t="shared" si="2"/>
        <v/>
      </c>
      <c r="Q47" s="24"/>
      <c r="R47" s="24"/>
      <c r="S47" s="24" t="str">
        <f t="shared" si="3"/>
        <v/>
      </c>
      <c r="T47" s="24"/>
      <c r="U47" s="24"/>
      <c r="V47" s="24"/>
      <c r="W47" s="24"/>
      <c r="X47" s="25"/>
    </row>
    <row r="48" spans="1:24">
      <c r="A48" s="28">
        <v>47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 t="str">
        <f t="shared" si="2"/>
        <v/>
      </c>
      <c r="Q48" s="24"/>
      <c r="R48" s="24"/>
      <c r="S48" s="24" t="str">
        <f t="shared" si="3"/>
        <v/>
      </c>
      <c r="T48" s="24"/>
      <c r="U48" s="24"/>
      <c r="V48" s="24"/>
      <c r="W48" s="24"/>
      <c r="X48" s="25"/>
    </row>
    <row r="49" spans="1:24">
      <c r="A49" s="28">
        <v>48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 t="str">
        <f t="shared" si="2"/>
        <v/>
      </c>
      <c r="Q49" s="24"/>
      <c r="R49" s="24"/>
      <c r="S49" s="24" t="str">
        <f t="shared" si="3"/>
        <v/>
      </c>
      <c r="T49" s="24"/>
      <c r="U49" s="24"/>
      <c r="V49" s="24"/>
      <c r="W49" s="24"/>
      <c r="X49" s="25"/>
    </row>
    <row r="50" spans="1:24">
      <c r="A50" s="28">
        <v>49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 t="str">
        <f t="shared" si="2"/>
        <v/>
      </c>
      <c r="Q50" s="24"/>
      <c r="R50" s="24"/>
      <c r="S50" s="24" t="str">
        <f t="shared" si="3"/>
        <v/>
      </c>
      <c r="T50" s="24"/>
      <c r="U50" s="24"/>
      <c r="V50" s="24"/>
      <c r="W50" s="24"/>
      <c r="X50" s="25"/>
    </row>
    <row r="51" spans="1:24">
      <c r="A51" s="28">
        <v>50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 t="str">
        <f t="shared" si="2"/>
        <v/>
      </c>
      <c r="Q51" s="24"/>
      <c r="R51" s="24"/>
      <c r="S51" s="24" t="str">
        <f t="shared" si="3"/>
        <v/>
      </c>
      <c r="T51" s="24"/>
      <c r="U51" s="24"/>
      <c r="V51" s="24"/>
      <c r="W51" s="24"/>
      <c r="X51" s="25"/>
    </row>
    <row r="52" spans="1:24">
      <c r="A52" s="28">
        <v>51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 t="str">
        <f t="shared" si="2"/>
        <v/>
      </c>
      <c r="Q52" s="24"/>
      <c r="R52" s="24"/>
      <c r="S52" s="24" t="str">
        <f t="shared" si="3"/>
        <v/>
      </c>
      <c r="T52" s="24"/>
      <c r="U52" s="24"/>
      <c r="V52" s="24"/>
      <c r="W52" s="24"/>
      <c r="X52" s="25"/>
    </row>
    <row r="53" spans="1:24">
      <c r="A53" s="28">
        <v>52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 t="str">
        <f t="shared" si="2"/>
        <v/>
      </c>
      <c r="Q53" s="24"/>
      <c r="R53" s="24"/>
      <c r="S53" s="24" t="str">
        <f t="shared" si="3"/>
        <v/>
      </c>
      <c r="T53" s="24"/>
      <c r="U53" s="24"/>
      <c r="V53" s="24"/>
      <c r="W53" s="24"/>
      <c r="X53" s="25"/>
    </row>
    <row r="54" spans="1:24">
      <c r="A54" s="28">
        <v>53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 t="str">
        <f t="shared" si="2"/>
        <v/>
      </c>
      <c r="Q54" s="24"/>
      <c r="R54" s="24"/>
      <c r="S54" s="24" t="str">
        <f t="shared" si="3"/>
        <v/>
      </c>
      <c r="T54" s="24"/>
      <c r="U54" s="24"/>
      <c r="V54" s="24"/>
      <c r="W54" s="24"/>
      <c r="X54" s="25"/>
    </row>
    <row r="55" spans="1:24">
      <c r="A55" s="28">
        <v>54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 t="str">
        <f t="shared" si="2"/>
        <v/>
      </c>
      <c r="Q55" s="24"/>
      <c r="R55" s="24"/>
      <c r="S55" s="24" t="str">
        <f t="shared" si="3"/>
        <v/>
      </c>
      <c r="T55" s="24"/>
      <c r="U55" s="24"/>
      <c r="V55" s="24"/>
      <c r="W55" s="24"/>
      <c r="X55" s="25"/>
    </row>
    <row r="56" spans="1:24">
      <c r="A56" s="28">
        <v>55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 t="str">
        <f t="shared" si="2"/>
        <v/>
      </c>
      <c r="Q56" s="24"/>
      <c r="R56" s="24"/>
      <c r="S56" s="24" t="str">
        <f t="shared" si="3"/>
        <v/>
      </c>
      <c r="T56" s="24"/>
      <c r="U56" s="24"/>
      <c r="V56" s="24"/>
      <c r="W56" s="24"/>
      <c r="X56" s="25"/>
    </row>
    <row r="57" spans="1:24">
      <c r="A57" s="28">
        <v>56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 t="str">
        <f t="shared" si="2"/>
        <v/>
      </c>
      <c r="Q57" s="24"/>
      <c r="R57" s="24"/>
      <c r="S57" s="24" t="str">
        <f t="shared" si="3"/>
        <v/>
      </c>
      <c r="T57" s="24"/>
      <c r="U57" s="24"/>
      <c r="V57" s="24"/>
      <c r="W57" s="24"/>
      <c r="X57" s="25"/>
    </row>
    <row r="58" spans="1:24">
      <c r="A58" s="28">
        <v>57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 t="str">
        <f t="shared" si="2"/>
        <v/>
      </c>
      <c r="Q58" s="24"/>
      <c r="R58" s="24"/>
      <c r="S58" s="24" t="str">
        <f t="shared" si="3"/>
        <v/>
      </c>
      <c r="T58" s="24"/>
      <c r="U58" s="24"/>
      <c r="V58" s="24"/>
      <c r="W58" s="24"/>
      <c r="X58" s="25"/>
    </row>
    <row r="59" spans="1:24">
      <c r="A59" s="28">
        <v>58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 t="str">
        <f t="shared" si="2"/>
        <v/>
      </c>
      <c r="Q59" s="24"/>
      <c r="R59" s="24"/>
      <c r="S59" s="24" t="str">
        <f t="shared" si="3"/>
        <v/>
      </c>
      <c r="T59" s="24"/>
      <c r="U59" s="24"/>
      <c r="V59" s="24"/>
      <c r="W59" s="24"/>
      <c r="X59" s="25"/>
    </row>
    <row r="60" spans="1:24">
      <c r="A60" s="28">
        <v>59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 t="str">
        <f t="shared" si="2"/>
        <v/>
      </c>
      <c r="Q60" s="24"/>
      <c r="R60" s="24"/>
      <c r="S60" s="24" t="str">
        <f t="shared" si="3"/>
        <v/>
      </c>
      <c r="T60" s="24"/>
      <c r="U60" s="24"/>
      <c r="V60" s="24"/>
      <c r="W60" s="24"/>
      <c r="X60" s="25"/>
    </row>
    <row r="61" spans="1:24">
      <c r="A61" s="28">
        <v>60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 t="str">
        <f t="shared" si="2"/>
        <v/>
      </c>
      <c r="Q61" s="24"/>
      <c r="R61" s="24"/>
      <c r="S61" s="24" t="str">
        <f t="shared" si="3"/>
        <v/>
      </c>
      <c r="T61" s="24"/>
      <c r="U61" s="24"/>
      <c r="V61" s="24"/>
      <c r="W61" s="24"/>
      <c r="X61" s="25"/>
    </row>
    <row r="62" spans="1:24">
      <c r="A62" s="28">
        <v>61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 t="str">
        <f t="shared" si="2"/>
        <v/>
      </c>
      <c r="Q62" s="24"/>
      <c r="R62" s="24"/>
      <c r="S62" s="24" t="str">
        <f t="shared" si="3"/>
        <v/>
      </c>
      <c r="T62" s="24"/>
      <c r="U62" s="24"/>
      <c r="V62" s="24"/>
      <c r="W62" s="24"/>
      <c r="X62" s="25"/>
    </row>
    <row r="63" spans="1:24">
      <c r="A63" s="28">
        <v>62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 t="str">
        <f t="shared" si="2"/>
        <v/>
      </c>
      <c r="Q63" s="24"/>
      <c r="R63" s="24"/>
      <c r="S63" s="24" t="str">
        <f t="shared" si="3"/>
        <v/>
      </c>
      <c r="T63" s="24"/>
      <c r="U63" s="24"/>
      <c r="V63" s="24"/>
      <c r="W63" s="24"/>
      <c r="X63" s="25"/>
    </row>
    <row r="64" spans="1:24">
      <c r="A64" s="28">
        <v>63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 t="str">
        <f t="shared" si="2"/>
        <v/>
      </c>
      <c r="Q64" s="24"/>
      <c r="R64" s="24"/>
      <c r="S64" s="24" t="str">
        <f t="shared" si="3"/>
        <v/>
      </c>
      <c r="T64" s="24"/>
      <c r="U64" s="24"/>
      <c r="V64" s="24"/>
      <c r="W64" s="24"/>
      <c r="X64" s="25"/>
    </row>
    <row r="65" spans="1:24">
      <c r="A65" s="28">
        <v>64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 t="str">
        <f t="shared" si="2"/>
        <v/>
      </c>
      <c r="Q65" s="24"/>
      <c r="R65" s="24"/>
      <c r="S65" s="24" t="str">
        <f t="shared" si="3"/>
        <v/>
      </c>
      <c r="T65" s="24"/>
      <c r="U65" s="24"/>
      <c r="V65" s="24"/>
      <c r="W65" s="24"/>
      <c r="X65" s="25"/>
    </row>
    <row r="66" spans="1:24">
      <c r="A66" s="28">
        <v>65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 t="str">
        <f t="shared" ref="P66:P97" si="4">IF(OR(N66="",O66=""),"",N66-O66)</f>
        <v/>
      </c>
      <c r="Q66" s="24"/>
      <c r="R66" s="24"/>
      <c r="S66" s="24" t="str">
        <f t="shared" ref="S66:S97" si="5">IF(OR(Q66="",R66=""),"",Q66-R66)</f>
        <v/>
      </c>
      <c r="T66" s="24"/>
      <c r="U66" s="24"/>
      <c r="V66" s="24"/>
      <c r="W66" s="24"/>
      <c r="X66" s="25"/>
    </row>
    <row r="67" spans="1:24">
      <c r="A67" s="28">
        <v>66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 t="str">
        <f t="shared" si="4"/>
        <v/>
      </c>
      <c r="Q67" s="24"/>
      <c r="R67" s="24"/>
      <c r="S67" s="24" t="str">
        <f t="shared" si="5"/>
        <v/>
      </c>
      <c r="T67" s="24"/>
      <c r="U67" s="24"/>
      <c r="V67" s="24"/>
      <c r="W67" s="24"/>
      <c r="X67" s="25"/>
    </row>
    <row r="68" spans="1:24">
      <c r="A68" s="28">
        <v>67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 t="str">
        <f t="shared" si="4"/>
        <v/>
      </c>
      <c r="Q68" s="24"/>
      <c r="R68" s="24"/>
      <c r="S68" s="24" t="str">
        <f t="shared" si="5"/>
        <v/>
      </c>
      <c r="T68" s="24"/>
      <c r="U68" s="24"/>
      <c r="V68" s="24"/>
      <c r="W68" s="24"/>
      <c r="X68" s="25"/>
    </row>
    <row r="69" spans="1:24">
      <c r="A69" s="28">
        <v>68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 t="str">
        <f t="shared" si="4"/>
        <v/>
      </c>
      <c r="Q69" s="24"/>
      <c r="R69" s="24"/>
      <c r="S69" s="24" t="str">
        <f t="shared" si="5"/>
        <v/>
      </c>
      <c r="T69" s="24"/>
      <c r="U69" s="24"/>
      <c r="V69" s="24"/>
      <c r="W69" s="24"/>
      <c r="X69" s="25"/>
    </row>
    <row r="70" spans="1:24">
      <c r="A70" s="28">
        <v>69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 t="str">
        <f t="shared" si="4"/>
        <v/>
      </c>
      <c r="Q70" s="24"/>
      <c r="R70" s="24"/>
      <c r="S70" s="24" t="str">
        <f t="shared" si="5"/>
        <v/>
      </c>
      <c r="T70" s="24"/>
      <c r="U70" s="24"/>
      <c r="V70" s="24"/>
      <c r="W70" s="24"/>
      <c r="X70" s="25"/>
    </row>
    <row r="71" spans="1:24">
      <c r="A71" s="28">
        <v>70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 t="str">
        <f t="shared" si="4"/>
        <v/>
      </c>
      <c r="Q71" s="24"/>
      <c r="R71" s="24"/>
      <c r="S71" s="24" t="str">
        <f t="shared" si="5"/>
        <v/>
      </c>
      <c r="T71" s="24"/>
      <c r="U71" s="24"/>
      <c r="V71" s="24"/>
      <c r="W71" s="24"/>
      <c r="X71" s="25"/>
    </row>
    <row r="72" spans="1:24">
      <c r="A72" s="28">
        <v>71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 t="str">
        <f t="shared" si="4"/>
        <v/>
      </c>
      <c r="Q72" s="24"/>
      <c r="R72" s="24"/>
      <c r="S72" s="24" t="str">
        <f t="shared" si="5"/>
        <v/>
      </c>
      <c r="T72" s="24"/>
      <c r="U72" s="24"/>
      <c r="V72" s="24"/>
      <c r="W72" s="24"/>
      <c r="X72" s="25"/>
    </row>
    <row r="73" spans="1:24">
      <c r="A73" s="28">
        <v>72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 t="str">
        <f t="shared" si="4"/>
        <v/>
      </c>
      <c r="Q73" s="24"/>
      <c r="R73" s="24"/>
      <c r="S73" s="24" t="str">
        <f t="shared" si="5"/>
        <v/>
      </c>
      <c r="T73" s="24"/>
      <c r="U73" s="24"/>
      <c r="V73" s="24"/>
      <c r="W73" s="24"/>
      <c r="X73" s="25"/>
    </row>
    <row r="74" spans="1:24">
      <c r="A74" s="28">
        <v>73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 t="str">
        <f t="shared" si="4"/>
        <v/>
      </c>
      <c r="Q74" s="24"/>
      <c r="R74" s="24"/>
      <c r="S74" s="24" t="str">
        <f t="shared" si="5"/>
        <v/>
      </c>
      <c r="T74" s="24"/>
      <c r="U74" s="24"/>
      <c r="V74" s="24"/>
      <c r="W74" s="24"/>
      <c r="X74" s="25"/>
    </row>
    <row r="75" spans="1:24">
      <c r="A75" s="28">
        <v>74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 t="str">
        <f t="shared" si="4"/>
        <v/>
      </c>
      <c r="Q75" s="24"/>
      <c r="R75" s="24"/>
      <c r="S75" s="24" t="str">
        <f t="shared" si="5"/>
        <v/>
      </c>
      <c r="T75" s="24"/>
      <c r="U75" s="24"/>
      <c r="V75" s="24"/>
      <c r="W75" s="24"/>
      <c r="X75" s="25"/>
    </row>
    <row r="76" spans="1:24">
      <c r="A76" s="28">
        <v>75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 t="str">
        <f t="shared" si="4"/>
        <v/>
      </c>
      <c r="Q76" s="24"/>
      <c r="R76" s="24"/>
      <c r="S76" s="24" t="str">
        <f t="shared" si="5"/>
        <v/>
      </c>
      <c r="T76" s="24"/>
      <c r="U76" s="24"/>
      <c r="V76" s="24"/>
      <c r="W76" s="24"/>
      <c r="X76" s="25"/>
    </row>
    <row r="77" spans="1:24">
      <c r="A77" s="28">
        <v>76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 t="str">
        <f t="shared" si="4"/>
        <v/>
      </c>
      <c r="Q77" s="24"/>
      <c r="R77" s="24"/>
      <c r="S77" s="24" t="str">
        <f t="shared" si="5"/>
        <v/>
      </c>
      <c r="T77" s="24"/>
      <c r="U77" s="24"/>
      <c r="V77" s="24"/>
      <c r="W77" s="24"/>
      <c r="X77" s="25"/>
    </row>
    <row r="78" spans="1:24">
      <c r="A78" s="28">
        <v>77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 t="str">
        <f t="shared" si="4"/>
        <v/>
      </c>
      <c r="Q78" s="24"/>
      <c r="R78" s="24"/>
      <c r="S78" s="24" t="str">
        <f t="shared" si="5"/>
        <v/>
      </c>
      <c r="T78" s="24"/>
      <c r="U78" s="24"/>
      <c r="V78" s="24"/>
      <c r="W78" s="24"/>
      <c r="X78" s="25"/>
    </row>
    <row r="79" spans="1:24">
      <c r="A79" s="28">
        <v>78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 t="str">
        <f t="shared" si="4"/>
        <v/>
      </c>
      <c r="Q79" s="24"/>
      <c r="R79" s="24"/>
      <c r="S79" s="24" t="str">
        <f t="shared" si="5"/>
        <v/>
      </c>
      <c r="T79" s="24"/>
      <c r="U79" s="24"/>
      <c r="V79" s="24"/>
      <c r="W79" s="24"/>
      <c r="X79" s="25"/>
    </row>
    <row r="80" spans="1:24">
      <c r="A80" s="28">
        <v>79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 t="str">
        <f t="shared" si="4"/>
        <v/>
      </c>
      <c r="Q80" s="24"/>
      <c r="R80" s="24"/>
      <c r="S80" s="24" t="str">
        <f t="shared" si="5"/>
        <v/>
      </c>
      <c r="T80" s="24"/>
      <c r="U80" s="24"/>
      <c r="V80" s="24"/>
      <c r="W80" s="24"/>
      <c r="X80" s="25"/>
    </row>
    <row r="81" spans="1:24">
      <c r="A81" s="28">
        <v>80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 t="str">
        <f t="shared" si="4"/>
        <v/>
      </c>
      <c r="Q81" s="24"/>
      <c r="R81" s="24"/>
      <c r="S81" s="24" t="str">
        <f t="shared" si="5"/>
        <v/>
      </c>
      <c r="T81" s="24"/>
      <c r="U81" s="24"/>
      <c r="V81" s="24"/>
      <c r="W81" s="24"/>
      <c r="X81" s="25"/>
    </row>
    <row r="82" spans="1:24">
      <c r="A82" s="28">
        <v>81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 t="str">
        <f t="shared" si="4"/>
        <v/>
      </c>
      <c r="Q82" s="24"/>
      <c r="R82" s="24"/>
      <c r="S82" s="24" t="str">
        <f t="shared" si="5"/>
        <v/>
      </c>
      <c r="T82" s="24"/>
      <c r="U82" s="24"/>
      <c r="V82" s="24"/>
      <c r="W82" s="24"/>
      <c r="X82" s="25"/>
    </row>
    <row r="83" spans="1:24">
      <c r="A83" s="28">
        <v>82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 t="str">
        <f t="shared" si="4"/>
        <v/>
      </c>
      <c r="Q83" s="24"/>
      <c r="R83" s="24"/>
      <c r="S83" s="24" t="str">
        <f t="shared" si="5"/>
        <v/>
      </c>
      <c r="T83" s="24"/>
      <c r="U83" s="24"/>
      <c r="V83" s="24"/>
      <c r="W83" s="24"/>
      <c r="X83" s="25"/>
    </row>
    <row r="84" spans="1:24">
      <c r="A84" s="28">
        <v>83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 t="str">
        <f t="shared" si="4"/>
        <v/>
      </c>
      <c r="Q84" s="24"/>
      <c r="R84" s="24"/>
      <c r="S84" s="24" t="str">
        <f t="shared" si="5"/>
        <v/>
      </c>
      <c r="T84" s="24"/>
      <c r="U84" s="24"/>
      <c r="V84" s="24"/>
      <c r="W84" s="24"/>
      <c r="X84" s="25"/>
    </row>
    <row r="85" spans="1:24">
      <c r="A85" s="28">
        <v>84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 t="str">
        <f t="shared" si="4"/>
        <v/>
      </c>
      <c r="Q85" s="24"/>
      <c r="R85" s="24"/>
      <c r="S85" s="24" t="str">
        <f t="shared" si="5"/>
        <v/>
      </c>
      <c r="T85" s="24"/>
      <c r="U85" s="24"/>
      <c r="V85" s="24"/>
      <c r="W85" s="24"/>
      <c r="X85" s="25"/>
    </row>
    <row r="86" spans="1:24">
      <c r="A86" s="28">
        <v>85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 t="str">
        <f t="shared" si="4"/>
        <v/>
      </c>
      <c r="Q86" s="24"/>
      <c r="R86" s="24"/>
      <c r="S86" s="24" t="str">
        <f t="shared" si="5"/>
        <v/>
      </c>
      <c r="T86" s="24"/>
      <c r="U86" s="24"/>
      <c r="V86" s="24"/>
      <c r="W86" s="24"/>
      <c r="X86" s="25"/>
    </row>
    <row r="87" spans="1:24">
      <c r="A87" s="28">
        <v>86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 t="str">
        <f t="shared" si="4"/>
        <v/>
      </c>
      <c r="Q87" s="24"/>
      <c r="R87" s="24"/>
      <c r="S87" s="24" t="str">
        <f t="shared" si="5"/>
        <v/>
      </c>
      <c r="T87" s="24"/>
      <c r="U87" s="24"/>
      <c r="V87" s="24"/>
      <c r="W87" s="24"/>
      <c r="X87" s="25"/>
    </row>
    <row r="88" spans="1:24">
      <c r="A88" s="28">
        <v>87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 t="str">
        <f t="shared" si="4"/>
        <v/>
      </c>
      <c r="Q88" s="24"/>
      <c r="R88" s="24"/>
      <c r="S88" s="24" t="str">
        <f t="shared" si="5"/>
        <v/>
      </c>
      <c r="T88" s="24"/>
      <c r="U88" s="24"/>
      <c r="V88" s="24"/>
      <c r="W88" s="24"/>
      <c r="X88" s="25"/>
    </row>
    <row r="89" spans="1:24">
      <c r="A89" s="28">
        <v>88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 t="str">
        <f t="shared" si="4"/>
        <v/>
      </c>
      <c r="Q89" s="24"/>
      <c r="R89" s="24"/>
      <c r="S89" s="24" t="str">
        <f t="shared" si="5"/>
        <v/>
      </c>
      <c r="T89" s="24"/>
      <c r="U89" s="24"/>
      <c r="V89" s="24"/>
      <c r="W89" s="24"/>
      <c r="X89" s="25"/>
    </row>
    <row r="90" spans="1:24">
      <c r="A90" s="28">
        <v>89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 t="str">
        <f t="shared" si="4"/>
        <v/>
      </c>
      <c r="Q90" s="24"/>
      <c r="R90" s="24"/>
      <c r="S90" s="24" t="str">
        <f t="shared" si="5"/>
        <v/>
      </c>
      <c r="T90" s="24"/>
      <c r="U90" s="24"/>
      <c r="V90" s="24"/>
      <c r="W90" s="24"/>
      <c r="X90" s="25"/>
    </row>
    <row r="91" spans="1:24">
      <c r="A91" s="28">
        <v>90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 t="str">
        <f t="shared" si="4"/>
        <v/>
      </c>
      <c r="Q91" s="24"/>
      <c r="R91" s="24"/>
      <c r="S91" s="24" t="str">
        <f t="shared" si="5"/>
        <v/>
      </c>
      <c r="T91" s="24"/>
      <c r="U91" s="24"/>
      <c r="V91" s="24"/>
      <c r="W91" s="24"/>
      <c r="X91" s="25"/>
    </row>
    <row r="92" spans="1:24">
      <c r="A92" s="28">
        <v>91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 t="str">
        <f t="shared" si="4"/>
        <v/>
      </c>
      <c r="Q92" s="24"/>
      <c r="R92" s="24"/>
      <c r="S92" s="24" t="str">
        <f t="shared" si="5"/>
        <v/>
      </c>
      <c r="T92" s="24"/>
      <c r="U92" s="24"/>
      <c r="V92" s="24"/>
      <c r="W92" s="24"/>
      <c r="X92" s="25"/>
    </row>
    <row r="93" spans="1:24">
      <c r="A93" s="28">
        <v>92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 t="str">
        <f t="shared" si="4"/>
        <v/>
      </c>
      <c r="Q93" s="24"/>
      <c r="R93" s="24"/>
      <c r="S93" s="24" t="str">
        <f t="shared" si="5"/>
        <v/>
      </c>
      <c r="T93" s="24"/>
      <c r="U93" s="24"/>
      <c r="V93" s="24"/>
      <c r="W93" s="24"/>
      <c r="X93" s="25"/>
    </row>
    <row r="94" spans="1:24">
      <c r="A94" s="28">
        <v>93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 t="str">
        <f t="shared" si="4"/>
        <v/>
      </c>
      <c r="Q94" s="24"/>
      <c r="R94" s="24"/>
      <c r="S94" s="24" t="str">
        <f t="shared" si="5"/>
        <v/>
      </c>
      <c r="T94" s="24"/>
      <c r="U94" s="24"/>
      <c r="V94" s="24"/>
      <c r="W94" s="24"/>
      <c r="X94" s="25"/>
    </row>
    <row r="95" spans="1:24">
      <c r="A95" s="28">
        <v>94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 t="str">
        <f t="shared" si="4"/>
        <v/>
      </c>
      <c r="Q95" s="24"/>
      <c r="R95" s="24"/>
      <c r="S95" s="24" t="str">
        <f t="shared" si="5"/>
        <v/>
      </c>
      <c r="T95" s="24"/>
      <c r="U95" s="24"/>
      <c r="V95" s="24"/>
      <c r="W95" s="24"/>
      <c r="X95" s="25"/>
    </row>
    <row r="96" spans="1:24">
      <c r="A96" s="28">
        <v>95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 t="str">
        <f t="shared" si="4"/>
        <v/>
      </c>
      <c r="Q96" s="24"/>
      <c r="R96" s="24"/>
      <c r="S96" s="24" t="str">
        <f t="shared" si="5"/>
        <v/>
      </c>
      <c r="T96" s="24"/>
      <c r="U96" s="24"/>
      <c r="V96" s="24"/>
      <c r="W96" s="24"/>
      <c r="X96" s="25"/>
    </row>
    <row r="97" spans="1:24">
      <c r="A97" s="28">
        <v>96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 t="str">
        <f t="shared" si="4"/>
        <v/>
      </c>
      <c r="Q97" s="24"/>
      <c r="R97" s="24"/>
      <c r="S97" s="24" t="str">
        <f t="shared" si="5"/>
        <v/>
      </c>
      <c r="T97" s="24"/>
      <c r="U97" s="24"/>
      <c r="V97" s="24"/>
      <c r="W97" s="24"/>
      <c r="X97" s="25"/>
    </row>
    <row r="98" spans="1:24">
      <c r="A98" s="28">
        <v>97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 t="str">
        <f t="shared" ref="P98:P129" si="6">IF(OR(N98="",O98=""),"",N98-O98)</f>
        <v/>
      </c>
      <c r="Q98" s="24"/>
      <c r="R98" s="24"/>
      <c r="S98" s="24" t="str">
        <f t="shared" ref="S98:S129" si="7">IF(OR(Q98="",R98=""),"",Q98-R98)</f>
        <v/>
      </c>
      <c r="T98" s="24"/>
      <c r="U98" s="24"/>
      <c r="V98" s="24"/>
      <c r="W98" s="24"/>
      <c r="X98" s="25"/>
    </row>
    <row r="99" spans="1:24">
      <c r="A99" s="28">
        <v>98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 t="str">
        <f t="shared" si="6"/>
        <v/>
      </c>
      <c r="Q99" s="24"/>
      <c r="R99" s="24"/>
      <c r="S99" s="24" t="str">
        <f t="shared" si="7"/>
        <v/>
      </c>
      <c r="T99" s="24"/>
      <c r="U99" s="24"/>
      <c r="V99" s="24"/>
      <c r="W99" s="24"/>
      <c r="X99" s="25"/>
    </row>
    <row r="100" spans="1:24">
      <c r="A100" s="28">
        <v>99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 t="str">
        <f t="shared" si="6"/>
        <v/>
      </c>
      <c r="Q100" s="24"/>
      <c r="R100" s="24"/>
      <c r="S100" s="24" t="str">
        <f t="shared" si="7"/>
        <v/>
      </c>
      <c r="T100" s="24"/>
      <c r="U100" s="24"/>
      <c r="V100" s="24"/>
      <c r="W100" s="24"/>
      <c r="X100" s="25"/>
    </row>
    <row r="101" spans="1:24">
      <c r="A101" s="28">
        <v>100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 t="str">
        <f t="shared" si="6"/>
        <v/>
      </c>
      <c r="Q101" s="24"/>
      <c r="R101" s="24"/>
      <c r="S101" s="24" t="str">
        <f t="shared" si="7"/>
        <v/>
      </c>
      <c r="T101" s="24"/>
      <c r="U101" s="24"/>
      <c r="V101" s="24"/>
      <c r="W101" s="24"/>
      <c r="X101" s="25"/>
    </row>
    <row r="102" spans="1:24">
      <c r="A102" s="28">
        <v>101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 t="str">
        <f t="shared" si="6"/>
        <v/>
      </c>
      <c r="Q102" s="24"/>
      <c r="R102" s="24"/>
      <c r="S102" s="24" t="str">
        <f t="shared" si="7"/>
        <v/>
      </c>
      <c r="T102" s="24"/>
      <c r="U102" s="24"/>
      <c r="V102" s="24"/>
      <c r="W102" s="24"/>
      <c r="X102" s="25"/>
    </row>
    <row r="103" spans="1:24">
      <c r="A103" s="28">
        <v>102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 t="str">
        <f t="shared" si="6"/>
        <v/>
      </c>
      <c r="Q103" s="24"/>
      <c r="R103" s="24"/>
      <c r="S103" s="24" t="str">
        <f t="shared" si="7"/>
        <v/>
      </c>
      <c r="T103" s="24"/>
      <c r="U103" s="24"/>
      <c r="V103" s="24"/>
      <c r="W103" s="24"/>
      <c r="X103" s="25"/>
    </row>
    <row r="104" spans="1:24">
      <c r="A104" s="28">
        <v>103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 t="str">
        <f t="shared" si="6"/>
        <v/>
      </c>
      <c r="Q104" s="24"/>
      <c r="R104" s="24"/>
      <c r="S104" s="24" t="str">
        <f t="shared" si="7"/>
        <v/>
      </c>
      <c r="T104" s="24"/>
      <c r="U104" s="24"/>
      <c r="V104" s="24"/>
      <c r="W104" s="24"/>
      <c r="X104" s="25"/>
    </row>
    <row r="105" spans="1:24">
      <c r="A105" s="28">
        <v>104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 t="str">
        <f t="shared" si="6"/>
        <v/>
      </c>
      <c r="Q105" s="24"/>
      <c r="R105" s="24"/>
      <c r="S105" s="24" t="str">
        <f t="shared" si="7"/>
        <v/>
      </c>
      <c r="T105" s="24"/>
      <c r="U105" s="24"/>
      <c r="V105" s="24"/>
      <c r="W105" s="24"/>
      <c r="X105" s="25"/>
    </row>
    <row r="106" spans="1:24">
      <c r="A106" s="28">
        <v>105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 t="str">
        <f t="shared" si="6"/>
        <v/>
      </c>
      <c r="Q106" s="24"/>
      <c r="R106" s="24"/>
      <c r="S106" s="24" t="str">
        <f t="shared" si="7"/>
        <v/>
      </c>
      <c r="T106" s="24"/>
      <c r="U106" s="24"/>
      <c r="V106" s="24"/>
      <c r="W106" s="24"/>
      <c r="X106" s="25"/>
    </row>
    <row r="107" spans="1:24">
      <c r="A107" s="28">
        <v>106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 t="str">
        <f t="shared" si="6"/>
        <v/>
      </c>
      <c r="Q107" s="24"/>
      <c r="R107" s="24"/>
      <c r="S107" s="24" t="str">
        <f t="shared" si="7"/>
        <v/>
      </c>
      <c r="T107" s="24"/>
      <c r="U107" s="24"/>
      <c r="V107" s="24"/>
      <c r="W107" s="24"/>
      <c r="X107" s="25"/>
    </row>
    <row r="108" spans="1:24">
      <c r="A108" s="28">
        <v>107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 t="str">
        <f t="shared" si="6"/>
        <v/>
      </c>
      <c r="Q108" s="24"/>
      <c r="R108" s="24"/>
      <c r="S108" s="24" t="str">
        <f t="shared" si="7"/>
        <v/>
      </c>
      <c r="T108" s="24"/>
      <c r="U108" s="24"/>
      <c r="V108" s="24"/>
      <c r="W108" s="24"/>
      <c r="X108" s="25"/>
    </row>
    <row r="109" spans="1:24">
      <c r="A109" s="28">
        <v>108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 t="str">
        <f t="shared" si="6"/>
        <v/>
      </c>
      <c r="Q109" s="24"/>
      <c r="R109" s="24"/>
      <c r="S109" s="24" t="str">
        <f t="shared" si="7"/>
        <v/>
      </c>
      <c r="T109" s="24"/>
      <c r="U109" s="24"/>
      <c r="V109" s="24"/>
      <c r="W109" s="24"/>
      <c r="X109" s="25"/>
    </row>
    <row r="110" spans="1:24">
      <c r="A110" s="28">
        <v>109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 t="str">
        <f t="shared" si="6"/>
        <v/>
      </c>
      <c r="Q110" s="24"/>
      <c r="R110" s="24"/>
      <c r="S110" s="24" t="str">
        <f t="shared" si="7"/>
        <v/>
      </c>
      <c r="T110" s="24"/>
      <c r="U110" s="24"/>
      <c r="V110" s="24"/>
      <c r="W110" s="24"/>
      <c r="X110" s="25"/>
    </row>
    <row r="111" spans="1:24">
      <c r="A111" s="28">
        <v>110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 t="str">
        <f t="shared" si="6"/>
        <v/>
      </c>
      <c r="Q111" s="24"/>
      <c r="R111" s="24"/>
      <c r="S111" s="24" t="str">
        <f t="shared" si="7"/>
        <v/>
      </c>
      <c r="T111" s="24"/>
      <c r="U111" s="24"/>
      <c r="V111" s="24"/>
      <c r="W111" s="24"/>
      <c r="X111" s="25"/>
    </row>
    <row r="112" spans="1:24">
      <c r="A112" s="28">
        <v>111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 t="str">
        <f t="shared" si="6"/>
        <v/>
      </c>
      <c r="Q112" s="24"/>
      <c r="R112" s="24"/>
      <c r="S112" s="24" t="str">
        <f t="shared" si="7"/>
        <v/>
      </c>
      <c r="T112" s="24"/>
      <c r="U112" s="24"/>
      <c r="V112" s="24"/>
      <c r="W112" s="24"/>
      <c r="X112" s="25"/>
    </row>
    <row r="113" spans="1:24">
      <c r="A113" s="28">
        <v>112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 t="str">
        <f t="shared" si="6"/>
        <v/>
      </c>
      <c r="Q113" s="24"/>
      <c r="R113" s="24"/>
      <c r="S113" s="24" t="str">
        <f t="shared" si="7"/>
        <v/>
      </c>
      <c r="T113" s="24"/>
      <c r="U113" s="24"/>
      <c r="V113" s="24"/>
      <c r="W113" s="24"/>
      <c r="X113" s="25"/>
    </row>
    <row r="114" spans="1:24">
      <c r="A114" s="28">
        <v>113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 t="str">
        <f t="shared" si="6"/>
        <v/>
      </c>
      <c r="Q114" s="24"/>
      <c r="R114" s="24"/>
      <c r="S114" s="24" t="str">
        <f t="shared" si="7"/>
        <v/>
      </c>
      <c r="T114" s="24"/>
      <c r="U114" s="24"/>
      <c r="V114" s="24"/>
      <c r="W114" s="24"/>
      <c r="X114" s="25"/>
    </row>
    <row r="115" spans="1:24">
      <c r="A115" s="28">
        <v>114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 t="str">
        <f t="shared" si="6"/>
        <v/>
      </c>
      <c r="Q115" s="24"/>
      <c r="R115" s="24"/>
      <c r="S115" s="24" t="str">
        <f t="shared" si="7"/>
        <v/>
      </c>
      <c r="T115" s="24"/>
      <c r="U115" s="24"/>
      <c r="V115" s="24"/>
      <c r="W115" s="24"/>
      <c r="X115" s="25"/>
    </row>
    <row r="116" spans="1:24">
      <c r="A116" s="28">
        <v>115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 t="str">
        <f t="shared" si="6"/>
        <v/>
      </c>
      <c r="Q116" s="24"/>
      <c r="R116" s="24"/>
      <c r="S116" s="24" t="str">
        <f t="shared" si="7"/>
        <v/>
      </c>
      <c r="T116" s="24"/>
      <c r="U116" s="24"/>
      <c r="V116" s="24"/>
      <c r="W116" s="24"/>
      <c r="X116" s="25"/>
    </row>
    <row r="117" spans="1:24">
      <c r="A117" s="28">
        <v>116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 t="str">
        <f t="shared" si="6"/>
        <v/>
      </c>
      <c r="Q117" s="24"/>
      <c r="R117" s="24"/>
      <c r="S117" s="24" t="str">
        <f t="shared" si="7"/>
        <v/>
      </c>
      <c r="T117" s="24"/>
      <c r="U117" s="24"/>
      <c r="V117" s="24"/>
      <c r="W117" s="24"/>
      <c r="X117" s="25"/>
    </row>
    <row r="118" spans="1:24">
      <c r="A118" s="28">
        <v>117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 t="str">
        <f t="shared" si="6"/>
        <v/>
      </c>
      <c r="Q118" s="24"/>
      <c r="R118" s="24"/>
      <c r="S118" s="24" t="str">
        <f t="shared" si="7"/>
        <v/>
      </c>
      <c r="T118" s="24"/>
      <c r="U118" s="24"/>
      <c r="V118" s="24"/>
      <c r="W118" s="24"/>
      <c r="X118" s="25"/>
    </row>
    <row r="119" spans="1:24">
      <c r="A119" s="28">
        <v>118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 t="str">
        <f t="shared" si="6"/>
        <v/>
      </c>
      <c r="Q119" s="24"/>
      <c r="R119" s="24"/>
      <c r="S119" s="24" t="str">
        <f t="shared" si="7"/>
        <v/>
      </c>
      <c r="T119" s="24"/>
      <c r="U119" s="24"/>
      <c r="V119" s="24"/>
      <c r="W119" s="24"/>
      <c r="X119" s="25"/>
    </row>
    <row r="120" spans="1:24">
      <c r="A120" s="28">
        <v>119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 t="str">
        <f t="shared" si="6"/>
        <v/>
      </c>
      <c r="Q120" s="24"/>
      <c r="R120" s="24"/>
      <c r="S120" s="24" t="str">
        <f t="shared" si="7"/>
        <v/>
      </c>
      <c r="T120" s="24"/>
      <c r="U120" s="24"/>
      <c r="V120" s="24"/>
      <c r="W120" s="24"/>
      <c r="X120" s="25"/>
    </row>
    <row r="121" spans="1:24">
      <c r="A121" s="28">
        <v>120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 t="str">
        <f t="shared" si="6"/>
        <v/>
      </c>
      <c r="Q121" s="24"/>
      <c r="R121" s="24"/>
      <c r="S121" s="24" t="str">
        <f t="shared" si="7"/>
        <v/>
      </c>
      <c r="T121" s="24"/>
      <c r="U121" s="24"/>
      <c r="V121" s="24"/>
      <c r="W121" s="24"/>
      <c r="X121" s="25"/>
    </row>
    <row r="122" spans="1:24">
      <c r="A122" s="28">
        <v>121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 t="str">
        <f t="shared" si="6"/>
        <v/>
      </c>
      <c r="Q122" s="24"/>
      <c r="R122" s="24"/>
      <c r="S122" s="24" t="str">
        <f t="shared" si="7"/>
        <v/>
      </c>
      <c r="T122" s="24"/>
      <c r="U122" s="24"/>
      <c r="V122" s="24"/>
      <c r="W122" s="24"/>
      <c r="X122" s="25"/>
    </row>
    <row r="123" spans="1:24">
      <c r="A123" s="28">
        <v>122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 t="str">
        <f t="shared" si="6"/>
        <v/>
      </c>
      <c r="Q123" s="24"/>
      <c r="R123" s="24"/>
      <c r="S123" s="24" t="str">
        <f t="shared" si="7"/>
        <v/>
      </c>
      <c r="T123" s="24"/>
      <c r="U123" s="24"/>
      <c r="V123" s="24"/>
      <c r="W123" s="24"/>
      <c r="X123" s="25"/>
    </row>
    <row r="124" spans="1:24">
      <c r="A124" s="28">
        <v>123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 t="str">
        <f t="shared" si="6"/>
        <v/>
      </c>
      <c r="Q124" s="24"/>
      <c r="R124" s="24"/>
      <c r="S124" s="24" t="str">
        <f t="shared" si="7"/>
        <v/>
      </c>
      <c r="T124" s="24"/>
      <c r="U124" s="24"/>
      <c r="V124" s="24"/>
      <c r="W124" s="24"/>
      <c r="X124" s="25"/>
    </row>
    <row r="125" spans="1:24">
      <c r="A125" s="28">
        <v>124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 t="str">
        <f t="shared" si="6"/>
        <v/>
      </c>
      <c r="Q125" s="24"/>
      <c r="R125" s="24"/>
      <c r="S125" s="24" t="str">
        <f t="shared" si="7"/>
        <v/>
      </c>
      <c r="T125" s="24"/>
      <c r="U125" s="24"/>
      <c r="V125" s="24"/>
      <c r="W125" s="24"/>
      <c r="X125" s="25"/>
    </row>
    <row r="126" spans="1:24">
      <c r="A126" s="28">
        <v>125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 t="str">
        <f t="shared" si="6"/>
        <v/>
      </c>
      <c r="Q126" s="24"/>
      <c r="R126" s="24"/>
      <c r="S126" s="24" t="str">
        <f t="shared" si="7"/>
        <v/>
      </c>
      <c r="T126" s="24"/>
      <c r="U126" s="24"/>
      <c r="V126" s="24"/>
      <c r="W126" s="24"/>
      <c r="X126" s="25"/>
    </row>
    <row r="127" spans="1:24">
      <c r="A127" s="28">
        <v>126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 t="str">
        <f t="shared" si="6"/>
        <v/>
      </c>
      <c r="Q127" s="24"/>
      <c r="R127" s="24"/>
      <c r="S127" s="24" t="str">
        <f t="shared" si="7"/>
        <v/>
      </c>
      <c r="T127" s="24"/>
      <c r="U127" s="24"/>
      <c r="V127" s="24"/>
      <c r="W127" s="24"/>
      <c r="X127" s="25"/>
    </row>
    <row r="128" spans="1:24">
      <c r="A128" s="28">
        <v>127</v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 t="str">
        <f t="shared" si="6"/>
        <v/>
      </c>
      <c r="Q128" s="24"/>
      <c r="R128" s="24"/>
      <c r="S128" s="24" t="str">
        <f t="shared" si="7"/>
        <v/>
      </c>
      <c r="T128" s="24"/>
      <c r="U128" s="24"/>
      <c r="V128" s="24"/>
      <c r="W128" s="24"/>
      <c r="X128" s="25"/>
    </row>
    <row r="129" spans="1:24">
      <c r="A129" s="28">
        <v>128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 t="str">
        <f t="shared" si="6"/>
        <v/>
      </c>
      <c r="Q129" s="24"/>
      <c r="R129" s="24"/>
      <c r="S129" s="24" t="str">
        <f t="shared" si="7"/>
        <v/>
      </c>
      <c r="T129" s="24"/>
      <c r="U129" s="24"/>
      <c r="V129" s="24"/>
      <c r="W129" s="24"/>
      <c r="X129" s="25"/>
    </row>
    <row r="130" spans="1:24">
      <c r="A130" s="28">
        <v>129</v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 t="str">
        <f t="shared" ref="P130:P161" si="8">IF(OR(N130="",O130=""),"",N130-O130)</f>
        <v/>
      </c>
      <c r="Q130" s="24"/>
      <c r="R130" s="24"/>
      <c r="S130" s="24" t="str">
        <f t="shared" ref="S130:S161" si="9">IF(OR(Q130="",R130=""),"",Q130-R130)</f>
        <v/>
      </c>
      <c r="T130" s="24"/>
      <c r="U130" s="24"/>
      <c r="V130" s="24"/>
      <c r="W130" s="24"/>
      <c r="X130" s="25"/>
    </row>
    <row r="131" spans="1:24">
      <c r="A131" s="28">
        <v>130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 t="str">
        <f t="shared" si="8"/>
        <v/>
      </c>
      <c r="Q131" s="24"/>
      <c r="R131" s="24"/>
      <c r="S131" s="24" t="str">
        <f t="shared" si="9"/>
        <v/>
      </c>
      <c r="T131" s="24"/>
      <c r="U131" s="24"/>
      <c r="V131" s="24"/>
      <c r="W131" s="24"/>
      <c r="X131" s="25"/>
    </row>
    <row r="132" spans="1:24">
      <c r="A132" s="28">
        <v>131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 t="str">
        <f t="shared" si="8"/>
        <v/>
      </c>
      <c r="Q132" s="24"/>
      <c r="R132" s="24"/>
      <c r="S132" s="24" t="str">
        <f t="shared" si="9"/>
        <v/>
      </c>
      <c r="T132" s="24"/>
      <c r="U132" s="24"/>
      <c r="V132" s="24"/>
      <c r="W132" s="24"/>
      <c r="X132" s="25"/>
    </row>
    <row r="133" spans="1:24">
      <c r="A133" s="28">
        <v>132</v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 t="str">
        <f t="shared" si="8"/>
        <v/>
      </c>
      <c r="Q133" s="24"/>
      <c r="R133" s="24"/>
      <c r="S133" s="24" t="str">
        <f t="shared" si="9"/>
        <v/>
      </c>
      <c r="T133" s="24"/>
      <c r="U133" s="24"/>
      <c r="V133" s="24"/>
      <c r="W133" s="24"/>
      <c r="X133" s="25"/>
    </row>
    <row r="134" spans="1:24">
      <c r="A134" s="28">
        <v>133</v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 t="str">
        <f t="shared" si="8"/>
        <v/>
      </c>
      <c r="Q134" s="24"/>
      <c r="R134" s="24"/>
      <c r="S134" s="24" t="str">
        <f t="shared" si="9"/>
        <v/>
      </c>
      <c r="T134" s="24"/>
      <c r="U134" s="24"/>
      <c r="V134" s="24"/>
      <c r="W134" s="24"/>
      <c r="X134" s="25"/>
    </row>
    <row r="135" spans="1:24">
      <c r="A135" s="28">
        <v>134</v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 t="str">
        <f t="shared" si="8"/>
        <v/>
      </c>
      <c r="Q135" s="24"/>
      <c r="R135" s="24"/>
      <c r="S135" s="24" t="str">
        <f t="shared" si="9"/>
        <v/>
      </c>
      <c r="T135" s="24"/>
      <c r="U135" s="24"/>
      <c r="V135" s="24"/>
      <c r="W135" s="24"/>
      <c r="X135" s="25"/>
    </row>
    <row r="136" spans="1:24">
      <c r="A136" s="28">
        <v>135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 t="str">
        <f t="shared" si="8"/>
        <v/>
      </c>
      <c r="Q136" s="24"/>
      <c r="R136" s="24"/>
      <c r="S136" s="24" t="str">
        <f t="shared" si="9"/>
        <v/>
      </c>
      <c r="T136" s="24"/>
      <c r="U136" s="24"/>
      <c r="V136" s="24"/>
      <c r="W136" s="24"/>
      <c r="X136" s="25"/>
    </row>
    <row r="137" spans="1:24">
      <c r="A137" s="28">
        <v>136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 t="str">
        <f t="shared" si="8"/>
        <v/>
      </c>
      <c r="Q137" s="24"/>
      <c r="R137" s="24"/>
      <c r="S137" s="24" t="str">
        <f t="shared" si="9"/>
        <v/>
      </c>
      <c r="T137" s="24"/>
      <c r="U137" s="24"/>
      <c r="V137" s="24"/>
      <c r="W137" s="24"/>
      <c r="X137" s="25"/>
    </row>
    <row r="138" spans="1:24">
      <c r="A138" s="28">
        <v>137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 t="str">
        <f t="shared" si="8"/>
        <v/>
      </c>
      <c r="Q138" s="24"/>
      <c r="R138" s="24"/>
      <c r="S138" s="24" t="str">
        <f t="shared" si="9"/>
        <v/>
      </c>
      <c r="T138" s="24"/>
      <c r="U138" s="24"/>
      <c r="V138" s="24"/>
      <c r="W138" s="24"/>
      <c r="X138" s="25"/>
    </row>
    <row r="139" spans="1:24">
      <c r="A139" s="28">
        <v>138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 t="str">
        <f t="shared" si="8"/>
        <v/>
      </c>
      <c r="Q139" s="24"/>
      <c r="R139" s="24"/>
      <c r="S139" s="24" t="str">
        <f t="shared" si="9"/>
        <v/>
      </c>
      <c r="T139" s="24"/>
      <c r="U139" s="24"/>
      <c r="V139" s="24"/>
      <c r="W139" s="24"/>
      <c r="X139" s="25"/>
    </row>
    <row r="140" spans="1:24">
      <c r="A140" s="28">
        <v>139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 t="str">
        <f t="shared" si="8"/>
        <v/>
      </c>
      <c r="Q140" s="24"/>
      <c r="R140" s="24"/>
      <c r="S140" s="24" t="str">
        <f t="shared" si="9"/>
        <v/>
      </c>
      <c r="T140" s="24"/>
      <c r="U140" s="24"/>
      <c r="V140" s="24"/>
      <c r="W140" s="24"/>
      <c r="X140" s="25"/>
    </row>
    <row r="141" spans="1:24">
      <c r="A141" s="28">
        <v>140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 t="str">
        <f t="shared" si="8"/>
        <v/>
      </c>
      <c r="Q141" s="24"/>
      <c r="R141" s="24"/>
      <c r="S141" s="24" t="str">
        <f t="shared" si="9"/>
        <v/>
      </c>
      <c r="T141" s="24"/>
      <c r="U141" s="24"/>
      <c r="V141" s="24"/>
      <c r="W141" s="24"/>
      <c r="X141" s="25"/>
    </row>
    <row r="142" spans="1:24">
      <c r="A142" s="28">
        <v>141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 t="str">
        <f t="shared" si="8"/>
        <v/>
      </c>
      <c r="Q142" s="24"/>
      <c r="R142" s="24"/>
      <c r="S142" s="24" t="str">
        <f t="shared" si="9"/>
        <v/>
      </c>
      <c r="T142" s="24"/>
      <c r="U142" s="24"/>
      <c r="V142" s="24"/>
      <c r="W142" s="24"/>
      <c r="X142" s="25"/>
    </row>
    <row r="143" spans="1:24">
      <c r="A143" s="28">
        <v>142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 t="str">
        <f t="shared" si="8"/>
        <v/>
      </c>
      <c r="Q143" s="24"/>
      <c r="R143" s="24"/>
      <c r="S143" s="24" t="str">
        <f t="shared" si="9"/>
        <v/>
      </c>
      <c r="T143" s="24"/>
      <c r="U143" s="24"/>
      <c r="V143" s="24"/>
      <c r="W143" s="24"/>
      <c r="X143" s="25"/>
    </row>
    <row r="144" spans="1:24">
      <c r="A144" s="28">
        <v>143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 t="str">
        <f t="shared" si="8"/>
        <v/>
      </c>
      <c r="Q144" s="24"/>
      <c r="R144" s="24"/>
      <c r="S144" s="24" t="str">
        <f t="shared" si="9"/>
        <v/>
      </c>
      <c r="T144" s="24"/>
      <c r="U144" s="24"/>
      <c r="V144" s="24"/>
      <c r="W144" s="24"/>
      <c r="X144" s="25"/>
    </row>
    <row r="145" spans="1:24">
      <c r="A145" s="28">
        <v>144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 t="str">
        <f t="shared" si="8"/>
        <v/>
      </c>
      <c r="Q145" s="24"/>
      <c r="R145" s="24"/>
      <c r="S145" s="24" t="str">
        <f t="shared" si="9"/>
        <v/>
      </c>
      <c r="T145" s="24"/>
      <c r="U145" s="24"/>
      <c r="V145" s="24"/>
      <c r="W145" s="24"/>
      <c r="X145" s="25"/>
    </row>
    <row r="146" spans="1:24">
      <c r="A146" s="28">
        <v>145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 t="str">
        <f t="shared" si="8"/>
        <v/>
      </c>
      <c r="Q146" s="24"/>
      <c r="R146" s="24"/>
      <c r="S146" s="24" t="str">
        <f t="shared" si="9"/>
        <v/>
      </c>
      <c r="T146" s="24"/>
      <c r="U146" s="24"/>
      <c r="V146" s="24"/>
      <c r="W146" s="24"/>
      <c r="X146" s="25"/>
    </row>
    <row r="147" spans="1:24">
      <c r="A147" s="28">
        <v>146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 t="str">
        <f t="shared" si="8"/>
        <v/>
      </c>
      <c r="Q147" s="24"/>
      <c r="R147" s="24"/>
      <c r="S147" s="24" t="str">
        <f t="shared" si="9"/>
        <v/>
      </c>
      <c r="T147" s="24"/>
      <c r="U147" s="24"/>
      <c r="V147" s="24"/>
      <c r="W147" s="24"/>
      <c r="X147" s="25"/>
    </row>
    <row r="148" spans="1:24">
      <c r="A148" s="28">
        <v>147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 t="str">
        <f t="shared" si="8"/>
        <v/>
      </c>
      <c r="Q148" s="24"/>
      <c r="R148" s="24"/>
      <c r="S148" s="24" t="str">
        <f t="shared" si="9"/>
        <v/>
      </c>
      <c r="T148" s="24"/>
      <c r="U148" s="24"/>
      <c r="V148" s="24"/>
      <c r="W148" s="24"/>
      <c r="X148" s="25"/>
    </row>
    <row r="149" spans="1:24">
      <c r="A149" s="28">
        <v>148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 t="str">
        <f t="shared" si="8"/>
        <v/>
      </c>
      <c r="Q149" s="24"/>
      <c r="R149" s="24"/>
      <c r="S149" s="24" t="str">
        <f t="shared" si="9"/>
        <v/>
      </c>
      <c r="T149" s="24"/>
      <c r="U149" s="24"/>
      <c r="V149" s="24"/>
      <c r="W149" s="24"/>
      <c r="X149" s="25"/>
    </row>
    <row r="150" spans="1:24">
      <c r="A150" s="28">
        <v>149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 t="str">
        <f t="shared" si="8"/>
        <v/>
      </c>
      <c r="Q150" s="24"/>
      <c r="R150" s="24"/>
      <c r="S150" s="24" t="str">
        <f t="shared" si="9"/>
        <v/>
      </c>
      <c r="T150" s="24"/>
      <c r="U150" s="24"/>
      <c r="V150" s="24"/>
      <c r="W150" s="24"/>
      <c r="X150" s="25"/>
    </row>
    <row r="151" spans="1:24">
      <c r="A151" s="28">
        <v>150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 t="str">
        <f t="shared" si="8"/>
        <v/>
      </c>
      <c r="Q151" s="24"/>
      <c r="R151" s="24"/>
      <c r="S151" s="24" t="str">
        <f t="shared" si="9"/>
        <v/>
      </c>
      <c r="T151" s="24"/>
      <c r="U151" s="24"/>
      <c r="V151" s="24"/>
      <c r="W151" s="24"/>
      <c r="X151" s="25"/>
    </row>
    <row r="152" spans="1:24">
      <c r="A152" s="28">
        <v>151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 t="str">
        <f t="shared" si="8"/>
        <v/>
      </c>
      <c r="Q152" s="24"/>
      <c r="R152" s="24"/>
      <c r="S152" s="24" t="str">
        <f t="shared" si="9"/>
        <v/>
      </c>
      <c r="T152" s="24"/>
      <c r="U152" s="24"/>
      <c r="V152" s="24"/>
      <c r="W152" s="24"/>
      <c r="X152" s="25"/>
    </row>
    <row r="153" spans="1:24">
      <c r="A153" s="28">
        <v>152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 t="str">
        <f t="shared" si="8"/>
        <v/>
      </c>
      <c r="Q153" s="24"/>
      <c r="R153" s="24"/>
      <c r="S153" s="24" t="str">
        <f t="shared" si="9"/>
        <v/>
      </c>
      <c r="T153" s="24"/>
      <c r="U153" s="24"/>
      <c r="V153" s="24"/>
      <c r="W153" s="24"/>
      <c r="X153" s="25"/>
    </row>
    <row r="154" spans="1:24">
      <c r="A154" s="28">
        <v>153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 t="str">
        <f t="shared" si="8"/>
        <v/>
      </c>
      <c r="Q154" s="24"/>
      <c r="R154" s="24"/>
      <c r="S154" s="24" t="str">
        <f t="shared" si="9"/>
        <v/>
      </c>
      <c r="T154" s="24"/>
      <c r="U154" s="24"/>
      <c r="V154" s="24"/>
      <c r="W154" s="24"/>
      <c r="X154" s="25"/>
    </row>
    <row r="155" spans="1:24">
      <c r="A155" s="28">
        <v>154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 t="str">
        <f t="shared" si="8"/>
        <v/>
      </c>
      <c r="Q155" s="24"/>
      <c r="R155" s="24"/>
      <c r="S155" s="24" t="str">
        <f t="shared" si="9"/>
        <v/>
      </c>
      <c r="T155" s="24"/>
      <c r="U155" s="24"/>
      <c r="V155" s="24"/>
      <c r="W155" s="24"/>
      <c r="X155" s="25"/>
    </row>
    <row r="156" spans="1:24">
      <c r="A156" s="28">
        <v>155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 t="str">
        <f t="shared" si="8"/>
        <v/>
      </c>
      <c r="Q156" s="24"/>
      <c r="R156" s="24"/>
      <c r="S156" s="24" t="str">
        <f t="shared" si="9"/>
        <v/>
      </c>
      <c r="T156" s="24"/>
      <c r="U156" s="24"/>
      <c r="V156" s="24"/>
      <c r="W156" s="24"/>
      <c r="X156" s="25"/>
    </row>
    <row r="157" spans="1:24">
      <c r="A157" s="28">
        <v>156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 t="str">
        <f t="shared" si="8"/>
        <v/>
      </c>
      <c r="Q157" s="24"/>
      <c r="R157" s="24"/>
      <c r="S157" s="24" t="str">
        <f t="shared" si="9"/>
        <v/>
      </c>
      <c r="T157" s="24"/>
      <c r="U157" s="24"/>
      <c r="V157" s="24"/>
      <c r="W157" s="24"/>
      <c r="X157" s="25"/>
    </row>
    <row r="158" spans="1:24">
      <c r="A158" s="28">
        <v>157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 t="str">
        <f t="shared" si="8"/>
        <v/>
      </c>
      <c r="Q158" s="24"/>
      <c r="R158" s="24"/>
      <c r="S158" s="24" t="str">
        <f t="shared" si="9"/>
        <v/>
      </c>
      <c r="T158" s="24"/>
      <c r="U158" s="24"/>
      <c r="V158" s="24"/>
      <c r="W158" s="24"/>
      <c r="X158" s="25"/>
    </row>
    <row r="159" spans="1:24">
      <c r="A159" s="28">
        <v>158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 t="str">
        <f t="shared" si="8"/>
        <v/>
      </c>
      <c r="Q159" s="24"/>
      <c r="R159" s="24"/>
      <c r="S159" s="24" t="str">
        <f t="shared" si="9"/>
        <v/>
      </c>
      <c r="T159" s="24"/>
      <c r="U159" s="24"/>
      <c r="V159" s="24"/>
      <c r="W159" s="24"/>
      <c r="X159" s="25"/>
    </row>
    <row r="160" spans="1:24">
      <c r="A160" s="28">
        <v>159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 t="str">
        <f t="shared" si="8"/>
        <v/>
      </c>
      <c r="Q160" s="24"/>
      <c r="R160" s="24"/>
      <c r="S160" s="24" t="str">
        <f t="shared" si="9"/>
        <v/>
      </c>
      <c r="T160" s="24"/>
      <c r="U160" s="24"/>
      <c r="V160" s="24"/>
      <c r="W160" s="24"/>
      <c r="X160" s="25"/>
    </row>
    <row r="161" spans="1:24">
      <c r="A161" s="28">
        <v>160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 t="str">
        <f t="shared" si="8"/>
        <v/>
      </c>
      <c r="Q161" s="24"/>
      <c r="R161" s="24"/>
      <c r="S161" s="24" t="str">
        <f t="shared" si="9"/>
        <v/>
      </c>
      <c r="T161" s="24"/>
      <c r="U161" s="24"/>
      <c r="V161" s="24"/>
      <c r="W161" s="24"/>
      <c r="X161" s="25"/>
    </row>
    <row r="162" spans="1:24">
      <c r="A162" s="28">
        <v>161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 t="str">
        <f t="shared" ref="P162:P193" si="10">IF(OR(N162="",O162=""),"",N162-O162)</f>
        <v/>
      </c>
      <c r="Q162" s="24"/>
      <c r="R162" s="24"/>
      <c r="S162" s="24" t="str">
        <f t="shared" ref="S162:S193" si="11">IF(OR(Q162="",R162=""),"",Q162-R162)</f>
        <v/>
      </c>
      <c r="T162" s="24"/>
      <c r="U162" s="24"/>
      <c r="V162" s="24"/>
      <c r="W162" s="24"/>
      <c r="X162" s="25"/>
    </row>
    <row r="163" spans="1:24">
      <c r="A163" s="28">
        <v>162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 t="str">
        <f t="shared" si="10"/>
        <v/>
      </c>
      <c r="Q163" s="24"/>
      <c r="R163" s="24"/>
      <c r="S163" s="24" t="str">
        <f t="shared" si="11"/>
        <v/>
      </c>
      <c r="T163" s="24"/>
      <c r="U163" s="24"/>
      <c r="V163" s="24"/>
      <c r="W163" s="24"/>
      <c r="X163" s="25"/>
    </row>
    <row r="164" spans="1:24">
      <c r="A164" s="28">
        <v>163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 t="str">
        <f t="shared" si="10"/>
        <v/>
      </c>
      <c r="Q164" s="24"/>
      <c r="R164" s="24"/>
      <c r="S164" s="24" t="str">
        <f t="shared" si="11"/>
        <v/>
      </c>
      <c r="T164" s="24"/>
      <c r="U164" s="24"/>
      <c r="V164" s="24"/>
      <c r="W164" s="24"/>
      <c r="X164" s="25"/>
    </row>
    <row r="165" spans="1:24">
      <c r="A165" s="28">
        <v>164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 t="str">
        <f t="shared" si="10"/>
        <v/>
      </c>
      <c r="Q165" s="24"/>
      <c r="R165" s="24"/>
      <c r="S165" s="24" t="str">
        <f t="shared" si="11"/>
        <v/>
      </c>
      <c r="T165" s="24"/>
      <c r="U165" s="24"/>
      <c r="V165" s="24"/>
      <c r="W165" s="24"/>
      <c r="X165" s="25"/>
    </row>
    <row r="166" spans="1:24">
      <c r="A166" s="28">
        <v>165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 t="str">
        <f t="shared" si="10"/>
        <v/>
      </c>
      <c r="Q166" s="24"/>
      <c r="R166" s="24"/>
      <c r="S166" s="24" t="str">
        <f t="shared" si="11"/>
        <v/>
      </c>
      <c r="T166" s="24"/>
      <c r="U166" s="24"/>
      <c r="V166" s="24"/>
      <c r="W166" s="24"/>
      <c r="X166" s="25"/>
    </row>
    <row r="167" spans="1:24">
      <c r="A167" s="28">
        <v>166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 t="str">
        <f t="shared" si="10"/>
        <v/>
      </c>
      <c r="Q167" s="24"/>
      <c r="R167" s="24"/>
      <c r="S167" s="24" t="str">
        <f t="shared" si="11"/>
        <v/>
      </c>
      <c r="T167" s="24"/>
      <c r="U167" s="24"/>
      <c r="V167" s="24"/>
      <c r="W167" s="24"/>
      <c r="X167" s="25"/>
    </row>
    <row r="168" spans="1:24">
      <c r="A168" s="28">
        <v>167</v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 t="str">
        <f t="shared" si="10"/>
        <v/>
      </c>
      <c r="Q168" s="24"/>
      <c r="R168" s="24"/>
      <c r="S168" s="24" t="str">
        <f t="shared" si="11"/>
        <v/>
      </c>
      <c r="T168" s="24"/>
      <c r="U168" s="24"/>
      <c r="V168" s="24"/>
      <c r="W168" s="24"/>
      <c r="X168" s="25"/>
    </row>
    <row r="169" spans="1:24">
      <c r="A169" s="28">
        <v>168</v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 t="str">
        <f t="shared" si="10"/>
        <v/>
      </c>
      <c r="Q169" s="24"/>
      <c r="R169" s="24"/>
      <c r="S169" s="24" t="str">
        <f t="shared" si="11"/>
        <v/>
      </c>
      <c r="T169" s="24"/>
      <c r="U169" s="24"/>
      <c r="V169" s="24"/>
      <c r="W169" s="24"/>
      <c r="X169" s="25"/>
    </row>
    <row r="170" spans="1:24">
      <c r="A170" s="28">
        <v>169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 t="str">
        <f t="shared" si="10"/>
        <v/>
      </c>
      <c r="Q170" s="24"/>
      <c r="R170" s="24"/>
      <c r="S170" s="24" t="str">
        <f t="shared" si="11"/>
        <v/>
      </c>
      <c r="T170" s="24"/>
      <c r="U170" s="24"/>
      <c r="V170" s="24"/>
      <c r="W170" s="24"/>
      <c r="X170" s="25"/>
    </row>
    <row r="171" spans="1:24">
      <c r="A171" s="28">
        <v>170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 t="str">
        <f t="shared" si="10"/>
        <v/>
      </c>
      <c r="Q171" s="24"/>
      <c r="R171" s="24"/>
      <c r="S171" s="24" t="str">
        <f t="shared" si="11"/>
        <v/>
      </c>
      <c r="T171" s="24"/>
      <c r="U171" s="24"/>
      <c r="V171" s="24"/>
      <c r="W171" s="24"/>
      <c r="X171" s="25"/>
    </row>
    <row r="172" spans="1:24">
      <c r="A172" s="28">
        <v>171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 t="str">
        <f t="shared" si="10"/>
        <v/>
      </c>
      <c r="Q172" s="24"/>
      <c r="R172" s="24"/>
      <c r="S172" s="24" t="str">
        <f t="shared" si="11"/>
        <v/>
      </c>
      <c r="T172" s="24"/>
      <c r="U172" s="24"/>
      <c r="V172" s="24"/>
      <c r="W172" s="24"/>
      <c r="X172" s="25"/>
    </row>
    <row r="173" spans="1:24">
      <c r="A173" s="28">
        <v>172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 t="str">
        <f t="shared" si="10"/>
        <v/>
      </c>
      <c r="Q173" s="24"/>
      <c r="R173" s="24"/>
      <c r="S173" s="24" t="str">
        <f t="shared" si="11"/>
        <v/>
      </c>
      <c r="T173" s="24"/>
      <c r="U173" s="24"/>
      <c r="V173" s="24"/>
      <c r="W173" s="24"/>
      <c r="X173" s="25"/>
    </row>
    <row r="174" spans="1:24">
      <c r="A174" s="28">
        <v>173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 t="str">
        <f t="shared" si="10"/>
        <v/>
      </c>
      <c r="Q174" s="24"/>
      <c r="R174" s="24"/>
      <c r="S174" s="24" t="str">
        <f t="shared" si="11"/>
        <v/>
      </c>
      <c r="T174" s="24"/>
      <c r="U174" s="24"/>
      <c r="V174" s="24"/>
      <c r="W174" s="24"/>
      <c r="X174" s="25"/>
    </row>
    <row r="175" spans="1:24">
      <c r="A175" s="28">
        <v>174</v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 t="str">
        <f t="shared" si="10"/>
        <v/>
      </c>
      <c r="Q175" s="24"/>
      <c r="R175" s="24"/>
      <c r="S175" s="24" t="str">
        <f t="shared" si="11"/>
        <v/>
      </c>
      <c r="T175" s="24"/>
      <c r="U175" s="24"/>
      <c r="V175" s="24"/>
      <c r="W175" s="24"/>
      <c r="X175" s="25"/>
    </row>
    <row r="176" spans="1:24">
      <c r="A176" s="28">
        <v>175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 t="str">
        <f t="shared" si="10"/>
        <v/>
      </c>
      <c r="Q176" s="24"/>
      <c r="R176" s="24"/>
      <c r="S176" s="24" t="str">
        <f t="shared" si="11"/>
        <v/>
      </c>
      <c r="T176" s="24"/>
      <c r="U176" s="24"/>
      <c r="V176" s="24"/>
      <c r="W176" s="24"/>
      <c r="X176" s="25"/>
    </row>
    <row r="177" spans="1:24">
      <c r="A177" s="28">
        <v>176</v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 t="str">
        <f t="shared" si="10"/>
        <v/>
      </c>
      <c r="Q177" s="24"/>
      <c r="R177" s="24"/>
      <c r="S177" s="24" t="str">
        <f t="shared" si="11"/>
        <v/>
      </c>
      <c r="T177" s="24"/>
      <c r="U177" s="24"/>
      <c r="V177" s="24"/>
      <c r="W177" s="24"/>
      <c r="X177" s="25"/>
    </row>
    <row r="178" spans="1:24">
      <c r="A178" s="28">
        <v>177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 t="str">
        <f t="shared" si="10"/>
        <v/>
      </c>
      <c r="Q178" s="24"/>
      <c r="R178" s="24"/>
      <c r="S178" s="24" t="str">
        <f t="shared" si="11"/>
        <v/>
      </c>
      <c r="T178" s="24"/>
      <c r="U178" s="24"/>
      <c r="V178" s="24"/>
      <c r="W178" s="24"/>
      <c r="X178" s="25"/>
    </row>
    <row r="179" spans="1:24">
      <c r="A179" s="28">
        <v>178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 t="str">
        <f t="shared" si="10"/>
        <v/>
      </c>
      <c r="Q179" s="24"/>
      <c r="R179" s="24"/>
      <c r="S179" s="24" t="str">
        <f t="shared" si="11"/>
        <v/>
      </c>
      <c r="T179" s="24"/>
      <c r="U179" s="24"/>
      <c r="V179" s="24"/>
      <c r="W179" s="24"/>
      <c r="X179" s="25"/>
    </row>
    <row r="180" spans="1:24">
      <c r="A180" s="28">
        <v>179</v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 t="str">
        <f t="shared" si="10"/>
        <v/>
      </c>
      <c r="Q180" s="24"/>
      <c r="R180" s="24"/>
      <c r="S180" s="24" t="str">
        <f t="shared" si="11"/>
        <v/>
      </c>
      <c r="T180" s="24"/>
      <c r="U180" s="24"/>
      <c r="V180" s="24"/>
      <c r="W180" s="24"/>
      <c r="X180" s="25"/>
    </row>
    <row r="181" spans="1:24">
      <c r="A181" s="28">
        <v>180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 t="str">
        <f t="shared" si="10"/>
        <v/>
      </c>
      <c r="Q181" s="24"/>
      <c r="R181" s="24"/>
      <c r="S181" s="24" t="str">
        <f t="shared" si="11"/>
        <v/>
      </c>
      <c r="T181" s="24"/>
      <c r="U181" s="24"/>
      <c r="V181" s="24"/>
      <c r="W181" s="24"/>
      <c r="X181" s="25"/>
    </row>
    <row r="182" spans="1:24">
      <c r="A182" s="28">
        <v>181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 t="str">
        <f t="shared" si="10"/>
        <v/>
      </c>
      <c r="Q182" s="24"/>
      <c r="R182" s="24"/>
      <c r="S182" s="24" t="str">
        <f t="shared" si="11"/>
        <v/>
      </c>
      <c r="T182" s="24"/>
      <c r="U182" s="24"/>
      <c r="V182" s="24"/>
      <c r="W182" s="24"/>
      <c r="X182" s="25"/>
    </row>
    <row r="183" spans="1:24">
      <c r="A183" s="28">
        <v>182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 t="str">
        <f t="shared" si="10"/>
        <v/>
      </c>
      <c r="Q183" s="24"/>
      <c r="R183" s="24"/>
      <c r="S183" s="24" t="str">
        <f t="shared" si="11"/>
        <v/>
      </c>
      <c r="T183" s="24"/>
      <c r="U183" s="24"/>
      <c r="V183" s="24"/>
      <c r="W183" s="24"/>
      <c r="X183" s="25"/>
    </row>
    <row r="184" spans="1:24">
      <c r="A184" s="28">
        <v>183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 t="str">
        <f t="shared" si="10"/>
        <v/>
      </c>
      <c r="Q184" s="24"/>
      <c r="R184" s="24"/>
      <c r="S184" s="24" t="str">
        <f t="shared" si="11"/>
        <v/>
      </c>
      <c r="T184" s="24"/>
      <c r="U184" s="24"/>
      <c r="V184" s="24"/>
      <c r="W184" s="24"/>
      <c r="X184" s="25"/>
    </row>
    <row r="185" spans="1:24">
      <c r="A185" s="28">
        <v>184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 t="str">
        <f t="shared" si="10"/>
        <v/>
      </c>
      <c r="Q185" s="24"/>
      <c r="R185" s="24"/>
      <c r="S185" s="24" t="str">
        <f t="shared" si="11"/>
        <v/>
      </c>
      <c r="T185" s="24"/>
      <c r="U185" s="24"/>
      <c r="V185" s="24"/>
      <c r="W185" s="24"/>
      <c r="X185" s="25"/>
    </row>
    <row r="186" spans="1:24">
      <c r="A186" s="28">
        <v>185</v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 t="str">
        <f t="shared" si="10"/>
        <v/>
      </c>
      <c r="Q186" s="24"/>
      <c r="R186" s="24"/>
      <c r="S186" s="24" t="str">
        <f t="shared" si="11"/>
        <v/>
      </c>
      <c r="T186" s="24"/>
      <c r="U186" s="24"/>
      <c r="V186" s="24"/>
      <c r="W186" s="24"/>
      <c r="X186" s="25"/>
    </row>
    <row r="187" spans="1:24">
      <c r="A187" s="28">
        <v>186</v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 t="str">
        <f t="shared" si="10"/>
        <v/>
      </c>
      <c r="Q187" s="24"/>
      <c r="R187" s="24"/>
      <c r="S187" s="24" t="str">
        <f t="shared" si="11"/>
        <v/>
      </c>
      <c r="T187" s="24"/>
      <c r="U187" s="24"/>
      <c r="V187" s="24"/>
      <c r="W187" s="24"/>
      <c r="X187" s="25"/>
    </row>
    <row r="188" spans="1:24">
      <c r="A188" s="28">
        <v>187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 t="str">
        <f t="shared" si="10"/>
        <v/>
      </c>
      <c r="Q188" s="24"/>
      <c r="R188" s="24"/>
      <c r="S188" s="24" t="str">
        <f t="shared" si="11"/>
        <v/>
      </c>
      <c r="T188" s="24"/>
      <c r="U188" s="24"/>
      <c r="V188" s="24"/>
      <c r="W188" s="24"/>
      <c r="X188" s="25"/>
    </row>
    <row r="189" spans="1:24">
      <c r="A189" s="28">
        <v>188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 t="str">
        <f t="shared" si="10"/>
        <v/>
      </c>
      <c r="Q189" s="24"/>
      <c r="R189" s="24"/>
      <c r="S189" s="24" t="str">
        <f t="shared" si="11"/>
        <v/>
      </c>
      <c r="T189" s="24"/>
      <c r="U189" s="24"/>
      <c r="V189" s="24"/>
      <c r="W189" s="24"/>
      <c r="X189" s="25"/>
    </row>
    <row r="190" spans="1:24">
      <c r="A190" s="28">
        <v>189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 t="str">
        <f t="shared" si="10"/>
        <v/>
      </c>
      <c r="Q190" s="24"/>
      <c r="R190" s="24"/>
      <c r="S190" s="24" t="str">
        <f t="shared" si="11"/>
        <v/>
      </c>
      <c r="T190" s="24"/>
      <c r="U190" s="24"/>
      <c r="V190" s="24"/>
      <c r="W190" s="24"/>
      <c r="X190" s="25"/>
    </row>
    <row r="191" spans="1:24">
      <c r="A191" s="28">
        <v>190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 t="str">
        <f t="shared" si="10"/>
        <v/>
      </c>
      <c r="Q191" s="24"/>
      <c r="R191" s="24"/>
      <c r="S191" s="24" t="str">
        <f t="shared" si="11"/>
        <v/>
      </c>
      <c r="T191" s="24"/>
      <c r="U191" s="24"/>
      <c r="V191" s="24"/>
      <c r="W191" s="24"/>
      <c r="X191" s="25"/>
    </row>
    <row r="192" spans="1:24">
      <c r="A192" s="28">
        <v>191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 t="str">
        <f t="shared" si="10"/>
        <v/>
      </c>
      <c r="Q192" s="24"/>
      <c r="R192" s="24"/>
      <c r="S192" s="24" t="str">
        <f t="shared" si="11"/>
        <v/>
      </c>
      <c r="T192" s="24"/>
      <c r="U192" s="24"/>
      <c r="V192" s="24"/>
      <c r="W192" s="24"/>
      <c r="X192" s="25"/>
    </row>
    <row r="193" spans="1:24">
      <c r="A193" s="28">
        <v>192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 t="str">
        <f t="shared" si="10"/>
        <v/>
      </c>
      <c r="Q193" s="24"/>
      <c r="R193" s="24"/>
      <c r="S193" s="24" t="str">
        <f t="shared" si="11"/>
        <v/>
      </c>
      <c r="T193" s="24"/>
      <c r="U193" s="24"/>
      <c r="V193" s="24"/>
      <c r="W193" s="24"/>
      <c r="X193" s="25"/>
    </row>
    <row r="194" spans="1:24">
      <c r="A194" s="28">
        <v>193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 t="str">
        <f t="shared" ref="P194:P201" si="12">IF(OR(N194="",O194=""),"",N194-O194)</f>
        <v/>
      </c>
      <c r="Q194" s="24"/>
      <c r="R194" s="24"/>
      <c r="S194" s="24" t="str">
        <f t="shared" ref="S194:S201" si="13">IF(OR(Q194="",R194=""),"",Q194-R194)</f>
        <v/>
      </c>
      <c r="T194" s="24"/>
      <c r="U194" s="24"/>
      <c r="V194" s="24"/>
      <c r="W194" s="24"/>
      <c r="X194" s="25"/>
    </row>
    <row r="195" spans="1:24">
      <c r="A195" s="28">
        <v>194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 t="str">
        <f t="shared" si="12"/>
        <v/>
      </c>
      <c r="Q195" s="24"/>
      <c r="R195" s="24"/>
      <c r="S195" s="24" t="str">
        <f t="shared" si="13"/>
        <v/>
      </c>
      <c r="T195" s="24"/>
      <c r="U195" s="24"/>
      <c r="V195" s="24"/>
      <c r="W195" s="24"/>
      <c r="X195" s="25"/>
    </row>
    <row r="196" spans="1:24">
      <c r="A196" s="28">
        <v>195</v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 t="str">
        <f t="shared" si="12"/>
        <v/>
      </c>
      <c r="Q196" s="24"/>
      <c r="R196" s="24"/>
      <c r="S196" s="24" t="str">
        <f t="shared" si="13"/>
        <v/>
      </c>
      <c r="T196" s="24"/>
      <c r="U196" s="24"/>
      <c r="V196" s="24"/>
      <c r="W196" s="24"/>
      <c r="X196" s="25"/>
    </row>
    <row r="197" spans="1:24">
      <c r="A197" s="28">
        <v>196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 t="str">
        <f t="shared" si="12"/>
        <v/>
      </c>
      <c r="Q197" s="24"/>
      <c r="R197" s="24"/>
      <c r="S197" s="24" t="str">
        <f t="shared" si="13"/>
        <v/>
      </c>
      <c r="T197" s="24"/>
      <c r="U197" s="24"/>
      <c r="V197" s="24"/>
      <c r="W197" s="24"/>
      <c r="X197" s="25"/>
    </row>
    <row r="198" spans="1:24">
      <c r="A198" s="28">
        <v>197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 t="str">
        <f t="shared" si="12"/>
        <v/>
      </c>
      <c r="Q198" s="24"/>
      <c r="R198" s="24"/>
      <c r="S198" s="24" t="str">
        <f t="shared" si="13"/>
        <v/>
      </c>
      <c r="T198" s="24"/>
      <c r="U198" s="24"/>
      <c r="V198" s="24"/>
      <c r="W198" s="24"/>
      <c r="X198" s="25"/>
    </row>
    <row r="199" spans="1:24">
      <c r="A199" s="28">
        <v>198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 t="str">
        <f t="shared" si="12"/>
        <v/>
      </c>
      <c r="Q199" s="24"/>
      <c r="R199" s="24"/>
      <c r="S199" s="24" t="str">
        <f t="shared" si="13"/>
        <v/>
      </c>
      <c r="T199" s="24"/>
      <c r="U199" s="24"/>
      <c r="V199" s="24"/>
      <c r="W199" s="24"/>
      <c r="X199" s="25"/>
    </row>
    <row r="200" spans="1:24">
      <c r="A200" s="28">
        <v>199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 t="str">
        <f t="shared" si="12"/>
        <v/>
      </c>
      <c r="Q200" s="24"/>
      <c r="R200" s="24"/>
      <c r="S200" s="24" t="str">
        <f t="shared" si="13"/>
        <v/>
      </c>
      <c r="T200" s="24"/>
      <c r="U200" s="24"/>
      <c r="V200" s="24"/>
      <c r="W200" s="24"/>
      <c r="X200" s="25"/>
    </row>
    <row r="201" spans="1:24">
      <c r="A201" s="29">
        <v>200</v>
      </c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 t="str">
        <f t="shared" si="12"/>
        <v/>
      </c>
      <c r="Q201" s="26"/>
      <c r="R201" s="26"/>
      <c r="S201" s="26" t="str">
        <f t="shared" si="13"/>
        <v/>
      </c>
      <c r="T201" s="26"/>
      <c r="U201" s="26"/>
      <c r="V201" s="26"/>
      <c r="W201" s="26"/>
      <c r="X201" s="27"/>
    </row>
    <row r="202" spans="1:24">
      <c r="A202" s="3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30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30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30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30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30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30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30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30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3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30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30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30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30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30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30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30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30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30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30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30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30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30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30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30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30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30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30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30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30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30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30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30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30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30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30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30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30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30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30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30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30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30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30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30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30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30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30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30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</sheetData>
  <conditionalFormatting sqref="W2:W201">
    <cfRule type="expression" dxfId="1" priority="1">
      <formula>W2="Conciliado"</formula>
    </cfRule>
    <cfRule type="expression" dxfId="0" priority="2">
      <formula>W2="Pendiente soporte"</formula>
    </cfRule>
  </conditionalFormatting>
  <dataValidations count="4">
    <dataValidation type="list" sqref="J2:J201" xr:uid="{00000000-0002-0000-0200-000000000000}">
      <formula1>"En uso,En bodega,Deteriorado,Obsoleto,No localizado,Perdido/Hurtado,En mantenimiento,Dado de baja,Sin soporte,No aplica"</formula1>
    </dataValidation>
    <dataValidation type="list" sqref="K2:M201" xr:uid="{00000000-0002-0000-0200-000001000000}">
      <formula1>"Sí,No,Pendiente"</formula1>
    </dataValidation>
    <dataValidation type="list" sqref="V2:V201" xr:uid="{00000000-0002-0000-0200-000002000000}">
      <formula1>"EN AMBOS,SOLO EN BIENES,SOLO EN CONTABILIDAD,DIFERENCIA COSTO,DIFERENCIA VIDA ÚTIL,DIFERENCIA CUENTA,DUPLICIDAD,NO LOCALIZADO,OBSOLETO/Deteriorado,PENDIENTE SOPORTE"</formula1>
    </dataValidation>
    <dataValidation type="list" sqref="W2:W201" xr:uid="{00000000-0002-0000-0200-000004000000}">
      <formula1>"Conciliado,Pendiente soporte,Pendiente Comité,Pendiente Contabilidad,Pendiente Bienes,Pendiente Jurídica,No procede ajuste,Cerrado"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50"/>
  <sheetViews>
    <sheetView workbookViewId="0">
      <selection activeCell="B3" sqref="B3"/>
    </sheetView>
  </sheetViews>
  <sheetFormatPr baseColWidth="10" defaultColWidth="8.8984375" defaultRowHeight="13.8"/>
  <cols>
    <col min="2" max="2" width="22" customWidth="1"/>
    <col min="3" max="5" width="38" customWidth="1"/>
    <col min="6" max="7" width="20" customWidth="1"/>
  </cols>
  <sheetData>
    <row r="1" spans="1:30" ht="27.6">
      <c r="A1" s="33" t="s">
        <v>191</v>
      </c>
      <c r="B1" s="4" t="s">
        <v>101</v>
      </c>
      <c r="C1" s="5" t="s">
        <v>102</v>
      </c>
      <c r="D1" s="5" t="s">
        <v>103</v>
      </c>
      <c r="E1" s="5" t="s">
        <v>104</v>
      </c>
      <c r="F1" s="5" t="s">
        <v>105</v>
      </c>
      <c r="G1" s="6" t="s">
        <v>106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1.4">
      <c r="A2" s="35">
        <v>1</v>
      </c>
      <c r="B2" s="24" t="s">
        <v>107</v>
      </c>
      <c r="C2" s="24" t="s">
        <v>108</v>
      </c>
      <c r="D2" s="24" t="s">
        <v>109</v>
      </c>
      <c r="E2" s="24" t="s">
        <v>110</v>
      </c>
      <c r="F2" s="24" t="s">
        <v>111</v>
      </c>
      <c r="G2" s="24" t="s">
        <v>112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41.4">
      <c r="A3" s="35">
        <v>2</v>
      </c>
      <c r="B3" s="24" t="s">
        <v>113</v>
      </c>
      <c r="C3" s="24" t="s">
        <v>114</v>
      </c>
      <c r="D3" s="24" t="s">
        <v>115</v>
      </c>
      <c r="E3" s="24" t="s">
        <v>116</v>
      </c>
      <c r="F3" s="24" t="s">
        <v>117</v>
      </c>
      <c r="G3" s="24" t="s">
        <v>118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7.6">
      <c r="A4" s="35">
        <v>3</v>
      </c>
      <c r="B4" s="24" t="s">
        <v>119</v>
      </c>
      <c r="C4" s="24" t="s">
        <v>120</v>
      </c>
      <c r="D4" s="24" t="s">
        <v>121</v>
      </c>
      <c r="E4" s="24" t="s">
        <v>122</v>
      </c>
      <c r="F4" s="24" t="s">
        <v>111</v>
      </c>
      <c r="G4" s="24" t="s">
        <v>123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1.4">
      <c r="A5" s="35">
        <v>4</v>
      </c>
      <c r="B5" s="24" t="s">
        <v>124</v>
      </c>
      <c r="C5" s="24" t="s">
        <v>125</v>
      </c>
      <c r="D5" s="24" t="s">
        <v>126</v>
      </c>
      <c r="E5" s="24" t="s">
        <v>127</v>
      </c>
      <c r="F5" s="24" t="s">
        <v>128</v>
      </c>
      <c r="G5" s="24" t="s">
        <v>118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7.6">
      <c r="A6" s="35">
        <v>5</v>
      </c>
      <c r="B6" s="24" t="s">
        <v>129</v>
      </c>
      <c r="C6" s="24" t="s">
        <v>130</v>
      </c>
      <c r="D6" s="24" t="s">
        <v>131</v>
      </c>
      <c r="E6" s="24" t="s">
        <v>132</v>
      </c>
      <c r="F6" s="24" t="s">
        <v>133</v>
      </c>
      <c r="G6" s="24" t="s">
        <v>134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7.6">
      <c r="A7" s="35">
        <v>6</v>
      </c>
      <c r="B7" s="24" t="s">
        <v>135</v>
      </c>
      <c r="C7" s="24" t="s">
        <v>136</v>
      </c>
      <c r="D7" s="24" t="s">
        <v>137</v>
      </c>
      <c r="E7" s="24" t="s">
        <v>138</v>
      </c>
      <c r="F7" s="24" t="s">
        <v>139</v>
      </c>
      <c r="G7" s="24" t="s">
        <v>118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7.6">
      <c r="A8" s="35">
        <v>7</v>
      </c>
      <c r="B8" s="24" t="s">
        <v>140</v>
      </c>
      <c r="C8" s="24" t="s">
        <v>141</v>
      </c>
      <c r="D8" s="24" t="s">
        <v>142</v>
      </c>
      <c r="E8" s="24" t="s">
        <v>143</v>
      </c>
      <c r="F8" s="24" t="s">
        <v>144</v>
      </c>
      <c r="G8" s="24" t="s">
        <v>118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6">
      <c r="A9" s="35">
        <v>8</v>
      </c>
      <c r="B9" s="24" t="s">
        <v>23</v>
      </c>
      <c r="C9" s="24" t="s">
        <v>145</v>
      </c>
      <c r="D9" s="24" t="s">
        <v>146</v>
      </c>
      <c r="E9" s="24" t="s">
        <v>147</v>
      </c>
      <c r="F9" s="24" t="s">
        <v>148</v>
      </c>
      <c r="G9" s="24" t="s">
        <v>134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2:30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2:30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2:30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2:3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2:30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2:30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2:30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2:30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2:30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2:30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2:30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2:30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2:30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2: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2:30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2:30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2:30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2:30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0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0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0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2:30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0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2:3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2:30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2:30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2:30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2:30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2:30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2:30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2:30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2:30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2:30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2:3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2:30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2:30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2:30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2:30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2:30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2:30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2:30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2:3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2:30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2:30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2:30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2:30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2:30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2:30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2:30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2:30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2:30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2:3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2:30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2:30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2:30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2:30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2:30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:30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:30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:30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:30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:3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2:30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2:30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2:30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2:30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2:30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2:30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2:30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2:30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2:30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2:3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2:30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2:30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2:30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2:30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2:30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2:30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2:30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2:30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2:30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2:3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2:30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2:30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2:30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2:30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2:30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2:30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2:30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2:30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2:30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2:3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2:30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2:30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2:30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2:30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2:30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30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2:30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2:30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2:30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2:3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2:30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2:30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2:30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2:30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2:30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2:30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2:30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2:30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2:30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2: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2:30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2:30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2:30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2:30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2:30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2:30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2:3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2:30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2:30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2:30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2:30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2:30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2:30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2:30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2:30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2:30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2:3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2:30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2:30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2:30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2:30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2:30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2:30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2:30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2:30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2:30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2:3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2:30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2:30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2:30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2:30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2:30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2:30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2:30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2:30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2:30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2:3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2:30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2:30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2:30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2:30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2:30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2:30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2:30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2:30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2:30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2:3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2:30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2:30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2:30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2:30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2:30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2:30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2:30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2:30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2:30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2:3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2:30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2:30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2:30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2:30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2:30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2:30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2:30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2:30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2:30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2:3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2:30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2:30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2:30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2:30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2:30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2:30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2:30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2:30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2:30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2:3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2:30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2:30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2:30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2:30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2:30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2:30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2:30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2:30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2:30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2:3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2:30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2:30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2:30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2:30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2:30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2:30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2:30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2:30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2:30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2: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2:30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2:30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2:30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2:30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2:30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2:30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2:30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2:30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2:30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2:3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2:30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2:30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2:30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2:30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2:30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2:30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2:30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2:30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2:30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2:3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50"/>
  <sheetViews>
    <sheetView workbookViewId="0">
      <selection activeCell="B13" sqref="B13"/>
    </sheetView>
  </sheetViews>
  <sheetFormatPr baseColWidth="10" defaultColWidth="8.8984375" defaultRowHeight="13.8"/>
  <cols>
    <col min="1" max="4" width="28" customWidth="1"/>
  </cols>
  <sheetData>
    <row r="1" spans="1:29">
      <c r="A1" s="40" t="s">
        <v>149</v>
      </c>
      <c r="B1" s="41"/>
      <c r="C1" s="41"/>
      <c r="D1" s="4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6" t="s">
        <v>150</v>
      </c>
      <c r="B2" s="16"/>
      <c r="C2" s="16" t="s">
        <v>151</v>
      </c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6" t="s">
        <v>152</v>
      </c>
      <c r="B3" s="16"/>
      <c r="C3" s="16" t="s">
        <v>153</v>
      </c>
      <c r="D3" s="1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57" customHeight="1">
      <c r="A4" s="16" t="s">
        <v>154</v>
      </c>
      <c r="B4" s="16" t="s">
        <v>155</v>
      </c>
      <c r="C4" s="16"/>
      <c r="D4" s="1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6"/>
      <c r="B5" s="16"/>
      <c r="C5" s="16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32" t="s">
        <v>156</v>
      </c>
      <c r="B6" s="32" t="s">
        <v>157</v>
      </c>
      <c r="C6" s="32" t="s">
        <v>158</v>
      </c>
      <c r="D6" s="32" t="s">
        <v>159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5"/>
      <c r="B7" s="15"/>
      <c r="C7" s="15"/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15"/>
      <c r="B8" s="15"/>
      <c r="C8" s="15"/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5"/>
      <c r="B9" s="15"/>
      <c r="C9" s="15"/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5"/>
      <c r="B10" s="15"/>
      <c r="C10" s="15"/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5"/>
      <c r="B11" s="15"/>
      <c r="C11" s="15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5"/>
      <c r="B12" s="15"/>
      <c r="C12" s="15"/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5"/>
      <c r="B13" s="15"/>
      <c r="C13" s="15"/>
      <c r="D13" s="1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5"/>
      <c r="B14" s="15"/>
      <c r="C14" s="15"/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5"/>
      <c r="B15" s="15"/>
      <c r="C15" s="15"/>
      <c r="D15" s="1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5"/>
      <c r="B16" s="15"/>
      <c r="C16" s="15"/>
      <c r="D16" s="1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5"/>
      <c r="B17" s="15"/>
      <c r="C17" s="15"/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5"/>
      <c r="B18" s="15"/>
      <c r="C18" s="15"/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5"/>
      <c r="B19" s="15"/>
      <c r="C19" s="15"/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5"/>
      <c r="B20" s="15"/>
      <c r="C20" s="15"/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5"/>
      <c r="B21" s="15"/>
      <c r="C21" s="15"/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5"/>
      <c r="B22" s="15"/>
      <c r="C22" s="15"/>
      <c r="D22" s="1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15"/>
      <c r="B23" s="15"/>
      <c r="C23" s="15"/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5"/>
      <c r="B24" s="15"/>
      <c r="C24" s="15"/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5"/>
      <c r="B25" s="15"/>
      <c r="C25" s="15"/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5"/>
      <c r="B26" s="15"/>
      <c r="C26" s="15"/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5"/>
      <c r="B27" s="15"/>
      <c r="C27" s="15"/>
      <c r="D27" s="1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A28" s="15" t="s">
        <v>160</v>
      </c>
      <c r="B28" s="15"/>
      <c r="C28" s="15" t="s">
        <v>161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5" t="s">
        <v>162</v>
      </c>
      <c r="B29" s="15"/>
      <c r="C29" s="15" t="s">
        <v>163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48"/>
  <sheetViews>
    <sheetView workbookViewId="0">
      <selection activeCell="C5" sqref="C5"/>
    </sheetView>
  </sheetViews>
  <sheetFormatPr baseColWidth="10" defaultColWidth="8.8984375" defaultRowHeight="13.8"/>
  <cols>
    <col min="1" max="1" width="4.8984375" style="31" customWidth="1"/>
    <col min="2" max="2" width="15.3984375" style="3" customWidth="1"/>
  </cols>
  <sheetData>
    <row r="1" spans="1:30">
      <c r="A1" s="33" t="s">
        <v>191</v>
      </c>
      <c r="B1" s="33" t="s">
        <v>164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35">
        <v>1</v>
      </c>
      <c r="B2" s="16" t="s">
        <v>165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35">
        <v>2</v>
      </c>
      <c r="B3" s="16" t="s">
        <v>166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>
      <c r="A4" s="35">
        <v>3</v>
      </c>
      <c r="B4" s="16" t="s">
        <v>167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5">
        <v>4</v>
      </c>
      <c r="B5" s="16" t="s">
        <v>168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>
      <c r="A6" s="35">
        <v>5</v>
      </c>
      <c r="B6" s="16" t="s">
        <v>169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>
      <c r="A7" s="35">
        <v>6</v>
      </c>
      <c r="B7" s="16" t="s">
        <v>170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>
      <c r="A8" s="35">
        <v>7</v>
      </c>
      <c r="B8" s="16" t="s">
        <v>171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>
      <c r="A9" s="35">
        <v>8</v>
      </c>
      <c r="B9" s="16" t="s">
        <v>172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>
      <c r="A10" s="35">
        <v>9</v>
      </c>
      <c r="B10" s="16" t="s">
        <v>173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>
      <c r="A11" s="35">
        <v>10</v>
      </c>
      <c r="B11" s="16" t="s">
        <v>174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7.6">
      <c r="A12" s="35">
        <v>11</v>
      </c>
      <c r="B12" s="16" t="s">
        <v>175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>
      <c r="A13" s="35">
        <v>12</v>
      </c>
      <c r="B13" s="16" t="s">
        <v>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>
      <c r="A14" s="35">
        <v>13</v>
      </c>
      <c r="B14" s="16" t="s">
        <v>176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7.6">
      <c r="A15" s="35">
        <v>14</v>
      </c>
      <c r="B15" s="16" t="s">
        <v>177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>
      <c r="A16" s="35">
        <v>15</v>
      </c>
      <c r="B16" s="16" t="s">
        <v>178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>
      <c r="A17" s="35">
        <v>16</v>
      </c>
      <c r="B17" s="16" t="s">
        <v>179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>
      <c r="A18" s="35">
        <v>17</v>
      </c>
      <c r="B18" s="16" t="s">
        <v>180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>
      <c r="A19" s="35">
        <v>18</v>
      </c>
      <c r="B19" s="16" t="s">
        <v>181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7.6">
      <c r="A20" s="35">
        <v>19</v>
      </c>
      <c r="B20" s="16" t="s">
        <v>182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7.6">
      <c r="A21" s="35">
        <v>20</v>
      </c>
      <c r="B21" s="16" t="s">
        <v>183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>
      <c r="A22" s="35">
        <v>21</v>
      </c>
      <c r="B22" s="16" t="s">
        <v>184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>
      <c r="A23" s="35">
        <v>22</v>
      </c>
      <c r="B23" s="16" t="s">
        <v>185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>
      <c r="A24" s="35">
        <v>23</v>
      </c>
      <c r="B24" s="16" t="s">
        <v>186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>
      <c r="A25" s="35">
        <v>24</v>
      </c>
      <c r="B25" s="16" t="s">
        <v>187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>
      <c r="A26" s="35">
        <v>25</v>
      </c>
      <c r="B26" s="16" t="s">
        <v>188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>
      <c r="A27" s="35">
        <v>26</v>
      </c>
      <c r="B27" s="16" t="s">
        <v>189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7.6">
      <c r="A28" s="35">
        <v>27</v>
      </c>
      <c r="B28" s="16" t="s">
        <v>190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7.6">
      <c r="A29" s="35">
        <v>28</v>
      </c>
      <c r="B29" s="16" t="s">
        <v>177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2:30"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2:30"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2:30"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2:30"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2:30"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2:30"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2:30"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2:30"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2:30"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2:30"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2:30"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2:30"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2:30"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2:30"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2:30"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2:30"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2:30"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2:30"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2:30"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2:30"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2:30"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2:30"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2:30"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2:30"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2:30"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2:30"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2:30"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2:30"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2:30"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2:30"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2:30"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2:30"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2:30"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2:30"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2:30"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2:30"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2:30"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2:30"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2:30"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2:30"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2:30"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2:30"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2:30"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2:30"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2:30"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2:30"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2:30"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2:30"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2:30"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2:30"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2:30"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2:30"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2:30"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2:30"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2:30"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2:30"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2:30"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2:30"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2:30"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2:30"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2:30"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2:30"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2:30"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2:30"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2:30"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2:30"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2:30"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2:30"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2:30"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2:30"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2:30"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2:30"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2:30"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2:30"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2:30"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2:30"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2:30"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2:30"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2:30"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2:30"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2:30"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2:30"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2:30"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2:30"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2:30"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2:30"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2:30"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2:30"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2:30"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2:30"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2:30"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2:30"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2:30"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2:30"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2:30"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2:30"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2:30"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2:30"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2:30"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2:30"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2:30"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2:30"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2:30"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2:30"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2:30"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2:30"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2:30"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2:30"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2:30"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2:30"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2:30"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2:30"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2:30"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2:30"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2:30"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2:30"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2:30"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2:30"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2:30"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2:30"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2:30"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2:30"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2:30"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2:30"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2:30"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2:30"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2:30"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2:30"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2:30"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2:30"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2:30"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2:30"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2:30"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2:30"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2:30"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2:30"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2:30"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2:30"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2:30"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2:30"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2:30"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2:30"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2:30"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2:30"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2:30"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2:30"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2:30"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2:30"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2:30"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2:30"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2:30"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2:30"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2:30"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2:30"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2:30"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2:30"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2:30"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2:30"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2:30"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2:30"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2:30"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2:30"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2:30"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2:30"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2:30"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2:30"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2:30"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2:30"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2:30"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2:30"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2:30"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2:30"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2:30"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2:30"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2:30"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2:30"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2:30"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2:30"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2:30"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2:30"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2:30"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2:30"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2:30"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2:30"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2:30"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2:30"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2:30"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2:30"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2:30"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2:30"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2:30"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2:30"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2:30"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2:30"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2:30"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2:30"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2:30"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2:30"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2:30"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2:30"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2:30"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2:30"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2:30"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2:30"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2:30"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2:30"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2:30"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2:30"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2:30"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2:30"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2:30"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2:30"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2:30"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2:30"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2:30"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2:30"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Base_Analisis</vt:lpstr>
      <vt:lpstr>Programacion</vt:lpstr>
      <vt:lpstr>Matriz_Inventario</vt:lpstr>
      <vt:lpstr>Justificacion</vt:lpstr>
      <vt:lpstr>Acta_Dep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giraldo martinez</cp:lastModifiedBy>
  <dcterms:created xsi:type="dcterms:W3CDTF">2026-05-13T21:03:44Z</dcterms:created>
  <dcterms:modified xsi:type="dcterms:W3CDTF">2026-05-19T15:26:41Z</dcterms:modified>
</cp:coreProperties>
</file>